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mc:AlternateContent xmlns:mc="http://schemas.openxmlformats.org/markup-compatibility/2006">
    <mc:Choice Requires="x15">
      <x15ac:absPath xmlns:x15ac="http://schemas.microsoft.com/office/spreadsheetml/2010/11/ac" url="C:\Users\ishika\Downloads\"/>
    </mc:Choice>
  </mc:AlternateContent>
  <xr:revisionPtr revIDLastSave="0" documentId="13_ncr:1_{9A5E46C6-6A04-4FEC-A33F-72BA6267BB02}" xr6:coauthVersionLast="47" xr6:coauthVersionMax="47" xr10:uidLastSave="{00000000-0000-0000-0000-000000000000}"/>
  <bookViews>
    <workbookView xWindow="-120" yWindow="-120" windowWidth="20730" windowHeight="11040" xr2:uid="{88D75A90-26BD-438C-8A87-D80F31A6A432}"/>
  </bookViews>
  <sheets>
    <sheet name="Sheet1" sheetId="1" r:id="rId1"/>
    <sheet name="Sheet4" sheetId="6" r:id="rId2"/>
    <sheet name="Sheet2" sheetId="2" r:id="rId3"/>
    <sheet name="Sheet3" sheetId="3" r:id="rId4"/>
  </sheets>
  <definedNames>
    <definedName name="_xlchart.v2.0" hidden="1">Sheet2!$B$51:$B$53</definedName>
    <definedName name="_xlchart.v2.1" hidden="1">Sheet2!$C$51:$C$53</definedName>
    <definedName name="Slicer_Account_Type">#N/A</definedName>
  </definedNames>
  <calcPr calcId="191028"/>
  <pivotCaches>
    <pivotCache cacheId="13" r:id="rId5"/>
    <pivotCache cacheId="73"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6" i="2" l="1"/>
  <c r="C47" i="2"/>
  <c r="C48" i="2"/>
  <c r="C49" i="2"/>
  <c r="C57" i="2"/>
  <c r="C58" i="2"/>
  <c r="C59" i="2"/>
  <c r="C60" i="2"/>
  <c r="C56" i="2"/>
  <c r="C53" i="2"/>
  <c r="C52" i="2"/>
  <c r="C51" i="2"/>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5" i="6"/>
  <c r="R5" i="1"/>
  <c r="R46" i="1" l="1"/>
  <c r="R27" i="1"/>
  <c r="R6" i="1"/>
  <c r="R38" i="1"/>
  <c r="R40" i="1"/>
  <c r="R63" i="1"/>
  <c r="R56" i="1"/>
  <c r="R39" i="1"/>
  <c r="R55" i="1"/>
  <c r="R42" i="1"/>
  <c r="R7" i="1"/>
  <c r="R22" i="1"/>
  <c r="R62" i="1"/>
  <c r="R45" i="1"/>
  <c r="R48" i="1"/>
  <c r="R19" i="1"/>
  <c r="R53" i="1"/>
  <c r="R8" i="1"/>
  <c r="R12" i="1"/>
  <c r="R30" i="1"/>
  <c r="R61" i="1"/>
  <c r="R36" i="1"/>
  <c r="R17" i="1"/>
  <c r="R59" i="1"/>
  <c r="R11" i="1"/>
  <c r="R50" i="1"/>
  <c r="R20" i="1"/>
  <c r="R47" i="1"/>
  <c r="R43" i="1"/>
  <c r="R9" i="1"/>
  <c r="R49" i="1"/>
  <c r="R44" i="1"/>
  <c r="R25" i="1"/>
  <c r="R41" i="1"/>
  <c r="R18" i="1"/>
  <c r="R58" i="1"/>
  <c r="R16" i="1"/>
  <c r="R14" i="1"/>
  <c r="R60" i="1"/>
  <c r="R23" i="1"/>
  <c r="R52" i="1"/>
  <c r="R32" i="1"/>
  <c r="R15" i="1"/>
  <c r="R64" i="1"/>
  <c r="R13" i="1"/>
  <c r="R35" i="1"/>
  <c r="R57" i="1"/>
  <c r="R21" i="1"/>
  <c r="R33" i="1"/>
  <c r="R26" i="1"/>
  <c r="R51" i="1"/>
  <c r="R31" i="1"/>
  <c r="R24" i="1"/>
  <c r="R10" i="1"/>
  <c r="R54" i="1"/>
  <c r="R28" i="1"/>
  <c r="R34" i="1"/>
  <c r="R29" i="1"/>
  <c r="R37" i="1"/>
</calcChain>
</file>

<file path=xl/sharedStrings.xml><?xml version="1.0" encoding="utf-8"?>
<sst xmlns="http://schemas.openxmlformats.org/spreadsheetml/2006/main" count="1621" uniqueCount="295">
  <si>
    <t xml:space="preserve">JPMC Excel Skills Virtual Experience Hypothetical Account Dataset </t>
  </si>
  <si>
    <t>Product Lines</t>
  </si>
  <si>
    <t>Marketing / Promotion Programs</t>
  </si>
  <si>
    <t>Product 1 Sales Volume (units)</t>
  </si>
  <si>
    <t>Account Name</t>
  </si>
  <si>
    <t>Account Address</t>
  </si>
  <si>
    <t>Decision Maker</t>
  </si>
  <si>
    <t>Phone Number</t>
  </si>
  <si>
    <t>Account Type</t>
  </si>
  <si>
    <t>Product 1</t>
  </si>
  <si>
    <t>Product 2</t>
  </si>
  <si>
    <t>Product 3</t>
  </si>
  <si>
    <t>Social Media</t>
  </si>
  <si>
    <t>Coupons</t>
  </si>
  <si>
    <t>Catalog Inclusion</t>
  </si>
  <si>
    <t>Posters</t>
  </si>
  <si>
    <t>5 YR CAGR</t>
  </si>
  <si>
    <t>SB 1</t>
  </si>
  <si>
    <t>2131 Patterson Road, Brooklyn NY 11201</t>
  </si>
  <si>
    <t>Dorothy Rizzo</t>
  </si>
  <si>
    <t>(880) 283-6803</t>
  </si>
  <si>
    <t>Small Business</t>
  </si>
  <si>
    <t>Yes</t>
  </si>
  <si>
    <t>SB 2</t>
  </si>
  <si>
    <t>3685 Morningview Lane, New York NY 10013</t>
  </si>
  <si>
    <t>Lawson Moore</t>
  </si>
  <si>
    <t>(711) 426-7350</t>
  </si>
  <si>
    <t>No</t>
  </si>
  <si>
    <t>SB 3</t>
  </si>
  <si>
    <t>2285 Ladybug Drive, New York NY 10013</t>
  </si>
  <si>
    <t>Vin Hudson</t>
  </si>
  <si>
    <t>(952) 952-5573</t>
  </si>
  <si>
    <t>SB 4</t>
  </si>
  <si>
    <t>2930 Southern Street, New York NY 10005</t>
  </si>
  <si>
    <t>Susana Huels</t>
  </si>
  <si>
    <t>(491) 505-6064</t>
  </si>
  <si>
    <t>SB 5</t>
  </si>
  <si>
    <t>2807 Geraldine Lane, New York NY 10004</t>
  </si>
  <si>
    <t>Shanna Hettinger</t>
  </si>
  <si>
    <t>(412) 570-0596</t>
  </si>
  <si>
    <t>SB 6</t>
  </si>
  <si>
    <t>7778 Cherry Road, Bronx NY 10467</t>
  </si>
  <si>
    <t>Roy McGlynn</t>
  </si>
  <si>
    <t>(594) 807-4187</t>
  </si>
  <si>
    <t>SB 7</t>
  </si>
  <si>
    <t>48 Winchester Avenue, New York NY 10024</t>
  </si>
  <si>
    <t>Lorena Posacco</t>
  </si>
  <si>
    <t>(678) 294-8103</t>
  </si>
  <si>
    <t>SB 8</t>
  </si>
  <si>
    <t>8735 Squaw Creek Drive, Brooklyn NY 11214</t>
  </si>
  <si>
    <t>Juanita Wisozk</t>
  </si>
  <si>
    <t>(305) 531-1310</t>
  </si>
  <si>
    <t>SB 9</t>
  </si>
  <si>
    <t>267 Third Road, New York NY 10034</t>
  </si>
  <si>
    <t>Velma Riley</t>
  </si>
  <si>
    <t>(697) 543-0310</t>
  </si>
  <si>
    <t>SB 10</t>
  </si>
  <si>
    <t>102 Coffee Court, Bronx NY 10461</t>
  </si>
  <si>
    <t>Holly Gaines</t>
  </si>
  <si>
    <t>(277) 456-4626</t>
  </si>
  <si>
    <t>SB 11</t>
  </si>
  <si>
    <t>44 W. Pheasant Street, Brooklyn NY 11233</t>
  </si>
  <si>
    <t>Gary Brown</t>
  </si>
  <si>
    <t>(459) 968-9453</t>
  </si>
  <si>
    <t>SB 12</t>
  </si>
  <si>
    <t>7488 N. Marconi Ave, Brooklyn NY 11237</t>
  </si>
  <si>
    <t>Jeffrey Akins</t>
  </si>
  <si>
    <t>(313) 417-8968</t>
  </si>
  <si>
    <t>SB 13</t>
  </si>
  <si>
    <t>9575 Shipley Court, Brooklyn NY 11201</t>
  </si>
  <si>
    <t>Tim Young</t>
  </si>
  <si>
    <t>(876) 653-1727</t>
  </si>
  <si>
    <t>SB 14</t>
  </si>
  <si>
    <t>8156 Lake View Street, New York, NY 10025</t>
  </si>
  <si>
    <t>Debra Kroll</t>
  </si>
  <si>
    <t>(628) 832-4986</t>
  </si>
  <si>
    <t>SB 15</t>
  </si>
  <si>
    <t>44 Madison Dr, New York NY 10032</t>
  </si>
  <si>
    <t>Kelly Boyd</t>
  </si>
  <si>
    <t>(220) 929-0797</t>
  </si>
  <si>
    <t>MB 1</t>
  </si>
  <si>
    <t>9848 Linden St, New York NY 10011</t>
  </si>
  <si>
    <t>Dan Hill</t>
  </si>
  <si>
    <t>(248) 450-0797</t>
  </si>
  <si>
    <t>Medium Business</t>
  </si>
  <si>
    <t>MB 2</t>
  </si>
  <si>
    <t>805 South Pilgrim Court, Brooklyn NY 11225</t>
  </si>
  <si>
    <t>Javier George</t>
  </si>
  <si>
    <t>(964) 214-3742</t>
  </si>
  <si>
    <t>MB 3</t>
  </si>
  <si>
    <t>9132 Redwood Rd, Bronx NY 10466</t>
  </si>
  <si>
    <t>Christopher Evans</t>
  </si>
  <si>
    <t>(831) 406-6300</t>
  </si>
  <si>
    <t>MB 4</t>
  </si>
  <si>
    <t>3 Warren Drive, New York NY 10040</t>
  </si>
  <si>
    <t>Julie Ross</t>
  </si>
  <si>
    <t>(778) 387-0744</t>
  </si>
  <si>
    <t>MB 5</t>
  </si>
  <si>
    <t>402 Bridgeton Lane, Bronx NY 10468</t>
  </si>
  <si>
    <t>Bill Callahan</t>
  </si>
  <si>
    <t>(617) 419-7996</t>
  </si>
  <si>
    <t>MB 6</t>
  </si>
  <si>
    <t>6 E. Nichols Ave, New York NY 10027</t>
  </si>
  <si>
    <t>Anthony Brooks</t>
  </si>
  <si>
    <t>(349) 801-7566</t>
  </si>
  <si>
    <t>MB 7</t>
  </si>
  <si>
    <t>323 North Edgewood St, Bronx NY 10457</t>
  </si>
  <si>
    <t>Charlotte Leroux</t>
  </si>
  <si>
    <t>(784) 634-6873</t>
  </si>
  <si>
    <t>MB 8</t>
  </si>
  <si>
    <t>484 Thorne St, New York NY 10128</t>
  </si>
  <si>
    <t>Nina Coulter</t>
  </si>
  <si>
    <t>(938) 752-9381</t>
  </si>
  <si>
    <t>MB 9</t>
  </si>
  <si>
    <t>861 Gonzales Lane, Bronx NY 10472</t>
  </si>
  <si>
    <t>Mia Ang</t>
  </si>
  <si>
    <t>(253) 861-1301</t>
  </si>
  <si>
    <t>MB 10</t>
  </si>
  <si>
    <t>267 Randall Mill Dr, New York NY 10033</t>
  </si>
  <si>
    <t>Kathy Rogers</t>
  </si>
  <si>
    <t>(939) 738-6471</t>
  </si>
  <si>
    <t>MB 11</t>
  </si>
  <si>
    <t>12 Lees Creek St, Brooklyn NY 11211</t>
  </si>
  <si>
    <t>Rita Varga</t>
  </si>
  <si>
    <t>(754) 696-3109</t>
  </si>
  <si>
    <t>MB 12</t>
  </si>
  <si>
    <t>240 W. Manhattan St, Bronx NY 10462</t>
  </si>
  <si>
    <t>Mel Berkowitz</t>
  </si>
  <si>
    <t>(967) 547-1542</t>
  </si>
  <si>
    <t>MB 13</t>
  </si>
  <si>
    <t>62 Lower River Road, Staten Island, NY 10306</t>
  </si>
  <si>
    <t>Debra Martin</t>
  </si>
  <si>
    <t>(743) 960-6716</t>
  </si>
  <si>
    <t>MB 14</t>
  </si>
  <si>
    <t>48 S. Brandywine St, New York NY 10002</t>
  </si>
  <si>
    <t>Deshaun Fletcher</t>
  </si>
  <si>
    <t>(845) 304-6511</t>
  </si>
  <si>
    <t>MB 15</t>
  </si>
  <si>
    <t>5 Tallwood St, Brooklyn NY 11233</t>
  </si>
  <si>
    <t>Kari Lenz</t>
  </si>
  <si>
    <t>(886) 554-5339</t>
  </si>
  <si>
    <t>OR 1</t>
  </si>
  <si>
    <t>77 Stillwater St, Brooklyn NY 11213</t>
  </si>
  <si>
    <t>John Mackey</t>
  </si>
  <si>
    <t>(831) 581-1892</t>
  </si>
  <si>
    <t>Online Retailer</t>
  </si>
  <si>
    <t>OR 2</t>
  </si>
  <si>
    <t>7061 Bishop St, Yonkers NY 10701</t>
  </si>
  <si>
    <t>Raymond Heywin</t>
  </si>
  <si>
    <t>(571) 843-1746</t>
  </si>
  <si>
    <t>OR 3</t>
  </si>
  <si>
    <t>7223 Cedarwood Ave, Brooklyn NY 11221</t>
  </si>
  <si>
    <t>Janie Roberson</t>
  </si>
  <si>
    <t>(924) 516-6566</t>
  </si>
  <si>
    <t>OR 4</t>
  </si>
  <si>
    <t>62 Lafayette Ave, Bronx NY 10462</t>
  </si>
  <si>
    <t>Brooke Hayes</t>
  </si>
  <si>
    <t>(247) 999-3394</t>
  </si>
  <si>
    <t>OR 5</t>
  </si>
  <si>
    <t>7839 Elm St, Staten Island NY 10306</t>
  </si>
  <si>
    <t>Lee Niemeyer</t>
  </si>
  <si>
    <t>(920) 451-3973</t>
  </si>
  <si>
    <t>OR 6</t>
  </si>
  <si>
    <t>429 Stonybrook Dr, Brooklyn NY 11203</t>
  </si>
  <si>
    <t>Stephen Harris</t>
  </si>
  <si>
    <t>(258) 948-7479</t>
  </si>
  <si>
    <t>OR 7</t>
  </si>
  <si>
    <t>640 Beechwood Dr, Bronx NY 10461</t>
  </si>
  <si>
    <t>Juan Scott</t>
  </si>
  <si>
    <t>(357) 532-0838</t>
  </si>
  <si>
    <t>OR 8</t>
  </si>
  <si>
    <t>9453 N. Wagon Lane, Brooklyn NY 11237</t>
  </si>
  <si>
    <t>Kurt Issacs</t>
  </si>
  <si>
    <t>(454) 903-5770</t>
  </si>
  <si>
    <t>OR 9</t>
  </si>
  <si>
    <t>81 San Carlos Road, Bronx NY 10463</t>
  </si>
  <si>
    <t>Dominique Johnson</t>
  </si>
  <si>
    <t>(336) 448-7026</t>
  </si>
  <si>
    <t>OR 10</t>
  </si>
  <si>
    <t>596 Coffee St, Bronx NY 10472</t>
  </si>
  <si>
    <t>Larry Alaimo</t>
  </si>
  <si>
    <t>(242) 869-1226</t>
  </si>
  <si>
    <t>OR 11</t>
  </si>
  <si>
    <t>92 Princess St, New York NY 10033</t>
  </si>
  <si>
    <t>Carlos Moya</t>
  </si>
  <si>
    <t>(485) 453-8693</t>
  </si>
  <si>
    <t>OR 12</t>
  </si>
  <si>
    <t>9151 River St, Brooklyn NY 11230</t>
  </si>
  <si>
    <t>Shaun Salvatore</t>
  </si>
  <si>
    <t>(691) 657-1498</t>
  </si>
  <si>
    <t>OR 13</t>
  </si>
  <si>
    <t>424 Hall Ave, New York NY 10128</t>
  </si>
  <si>
    <t>Annie Fuentes</t>
  </si>
  <si>
    <t>(462) 693-6254</t>
  </si>
  <si>
    <t>OR 14</t>
  </si>
  <si>
    <t>81 Crescent St, Brooklyn NY 11210</t>
  </si>
  <si>
    <t>Maria Sawyer</t>
  </si>
  <si>
    <t>(881) 243-5276</t>
  </si>
  <si>
    <t>OR 15</t>
  </si>
  <si>
    <t>7217 Birch Hill Dr, New York NY 10009</t>
  </si>
  <si>
    <t>Darnell Straughter</t>
  </si>
  <si>
    <t>(680) 628-4625</t>
  </si>
  <si>
    <t>WD 1</t>
  </si>
  <si>
    <t>7184 Center Court, Brooklyn NY 11208</t>
  </si>
  <si>
    <t>Richard Breaux</t>
  </si>
  <si>
    <t>(685) 981-8556</t>
  </si>
  <si>
    <t>Wholesale Distributor</t>
  </si>
  <si>
    <t>WD 2</t>
  </si>
  <si>
    <t>815 2nd St, New York NY 10028</t>
  </si>
  <si>
    <t>Craig Collins</t>
  </si>
  <si>
    <t>(828) 840-2736</t>
  </si>
  <si>
    <t>WD 3</t>
  </si>
  <si>
    <t>9875 Franklin Rd, Brooklyn NY 11223</t>
  </si>
  <si>
    <t>Donna Lam</t>
  </si>
  <si>
    <t>(931) 618-9558</t>
  </si>
  <si>
    <t>WD 4</t>
  </si>
  <si>
    <t>601 Bank Ave, Brooklyn NY 11218</t>
  </si>
  <si>
    <t>Teresa Vasbinder</t>
  </si>
  <si>
    <t>(261) 690-0303</t>
  </si>
  <si>
    <t>WD 5</t>
  </si>
  <si>
    <t>21 Yukon St, Bronx NY 10451</t>
  </si>
  <si>
    <t>Andre Mobley</t>
  </si>
  <si>
    <t>(597) 701-9429</t>
  </si>
  <si>
    <t>WD 6</t>
  </si>
  <si>
    <t>18 N. Woodland Ave, New York NY 10025</t>
  </si>
  <si>
    <t>Ray Hernandez</t>
  </si>
  <si>
    <t>(609) 345-8163</t>
  </si>
  <si>
    <t>WD 7</t>
  </si>
  <si>
    <t>65 Lower River Ave, Bronx NY 10465</t>
  </si>
  <si>
    <t>Thomas Stewart</t>
  </si>
  <si>
    <t>(381) 643-1230</t>
  </si>
  <si>
    <t>WD 8</t>
  </si>
  <si>
    <t>8680 Alderwood St, New York NY 10032</t>
  </si>
  <si>
    <t>Henry Lange</t>
  </si>
  <si>
    <t>(293) 473-1512</t>
  </si>
  <si>
    <t>WD 9</t>
  </si>
  <si>
    <t>8388 Gonzales St, Brooklyn NY 11228</t>
  </si>
  <si>
    <t>Danielle Tomas</t>
  </si>
  <si>
    <t>(459) 261-2301</t>
  </si>
  <si>
    <t>WD 10</t>
  </si>
  <si>
    <t>9760 Taylor Dr, Brooklyn NY 11211</t>
  </si>
  <si>
    <t>Joe Schimke</t>
  </si>
  <si>
    <t>(936) 816-9148</t>
  </si>
  <si>
    <t>WD 11</t>
  </si>
  <si>
    <t>419 E. Henry Ave, New York NY 10031</t>
  </si>
  <si>
    <t>Carlos Jackson</t>
  </si>
  <si>
    <t>(201) 363-0653</t>
  </si>
  <si>
    <t>WD 12</t>
  </si>
  <si>
    <t>8083 8th St, Brooklyn NY 11209</t>
  </si>
  <si>
    <t>Russell Wallace</t>
  </si>
  <si>
    <t>(237) 890-0247</t>
  </si>
  <si>
    <t>WD 13</t>
  </si>
  <si>
    <t>2 Rock Maple Ave, New York NY 10029</t>
  </si>
  <si>
    <t>Shameka West</t>
  </si>
  <si>
    <t>(488) 656-0761</t>
  </si>
  <si>
    <t>WD 14</t>
  </si>
  <si>
    <t>9577 Nicolls Ave, Staten Island NY 10312</t>
  </si>
  <si>
    <t>Kevin Fleming</t>
  </si>
  <si>
    <t>(650) 848-8284</t>
  </si>
  <si>
    <t>WD 15</t>
  </si>
  <si>
    <t>174 Del Monte St, Brooklyn NY 11224</t>
  </si>
  <si>
    <t>Anna Grey</t>
  </si>
  <si>
    <t>(980) 437-1451</t>
  </si>
  <si>
    <t>Column1</t>
  </si>
  <si>
    <t>2017</t>
  </si>
  <si>
    <t>2018</t>
  </si>
  <si>
    <t>2019</t>
  </si>
  <si>
    <t>2020</t>
  </si>
  <si>
    <t>2021</t>
  </si>
  <si>
    <t>Row Labels</t>
  </si>
  <si>
    <t>Grand Total</t>
  </si>
  <si>
    <t>Sum of 2017</t>
  </si>
  <si>
    <t>Sum of 2018</t>
  </si>
  <si>
    <t>Sum of 2019</t>
  </si>
  <si>
    <t>Sum of 2020</t>
  </si>
  <si>
    <t>Sum of 2021</t>
  </si>
  <si>
    <t>Sales in 2017</t>
  </si>
  <si>
    <t>Sales in 2018</t>
  </si>
  <si>
    <t>Sales in 2019</t>
  </si>
  <si>
    <t>Sales in 2020</t>
  </si>
  <si>
    <t>Sales in 2021</t>
  </si>
  <si>
    <t>Sum of 5 YR CAGR</t>
  </si>
  <si>
    <t>Count of Social Media</t>
  </si>
  <si>
    <t>Count of Coupons</t>
  </si>
  <si>
    <t>Count of Catalog Inclusion</t>
  </si>
  <si>
    <t>Count of Posters</t>
  </si>
  <si>
    <t>Average of 5 YR CAGR</t>
  </si>
  <si>
    <t>New York</t>
  </si>
  <si>
    <t>Staten Island</t>
  </si>
  <si>
    <t>Brooklyn</t>
  </si>
  <si>
    <t>Bronx</t>
  </si>
  <si>
    <t>Yonkers</t>
  </si>
  <si>
    <t>City</t>
  </si>
  <si>
    <t>Total Sales in 5 years</t>
  </si>
  <si>
    <t>Average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</si>
</sst>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Garamond"/>
      <family val="2"/>
      <scheme val="minor"/>
    </font>
    <font>
      <b/>
      <sz val="11"/>
      <color theme="1"/>
      <name val="Garamond"/>
      <family val="2"/>
      <scheme val="minor"/>
    </font>
    <font>
      <b/>
      <sz val="14"/>
      <color theme="1"/>
      <name val="Garamond"/>
      <family val="2"/>
      <scheme val="minor"/>
    </font>
    <font>
      <sz val="8"/>
      <name val="Garamond"/>
      <family val="2"/>
      <scheme val="minor"/>
    </font>
  </fonts>
  <fills count="7">
    <fill>
      <patternFill patternType="none"/>
    </fill>
    <fill>
      <patternFill patternType="gray125"/>
    </fill>
    <fill>
      <patternFill patternType="solid">
        <fgColor rgb="FF00B0F0"/>
        <bgColor indexed="64"/>
      </patternFill>
    </fill>
    <fill>
      <patternFill patternType="solid">
        <fgColor rgb="FF00B050"/>
        <bgColor indexed="64"/>
      </patternFill>
    </fill>
    <fill>
      <patternFill patternType="solid">
        <fgColor theme="7"/>
        <bgColor indexed="64"/>
      </patternFill>
    </fill>
    <fill>
      <patternFill patternType="solid">
        <fgColor theme="4" tint="0.79998168889431442"/>
        <bgColor theme="4" tint="0.79998168889431442"/>
      </patternFill>
    </fill>
    <fill>
      <patternFill patternType="solid">
        <fgColor theme="1"/>
        <bgColor indexed="64"/>
      </patternFill>
    </fill>
  </fills>
  <borders count="2">
    <border>
      <left/>
      <right/>
      <top/>
      <bottom/>
      <diagonal/>
    </border>
    <border>
      <left/>
      <right/>
      <top/>
      <bottom style="thin">
        <color theme="4" tint="0.39997558519241921"/>
      </bottom>
      <diagonal/>
    </border>
  </borders>
  <cellStyleXfs count="1">
    <xf numFmtId="0" fontId="0" fillId="0" borderId="0"/>
  </cellStyleXfs>
  <cellXfs count="19">
    <xf numFmtId="0" fontId="0" fillId="0" borderId="0" xfId="0"/>
    <xf numFmtId="0" fontId="1" fillId="0" borderId="0" xfId="0" applyFont="1"/>
    <xf numFmtId="0" fontId="0" fillId="3" borderId="0" xfId="0" applyFill="1"/>
    <xf numFmtId="9" fontId="0" fillId="0" borderId="0" xfId="0" applyNumberFormat="1"/>
    <xf numFmtId="0" fontId="1" fillId="2" borderId="0" xfId="0" applyFont="1" applyFill="1"/>
    <xf numFmtId="0" fontId="0" fillId="2" borderId="0" xfId="0" applyFill="1"/>
    <xf numFmtId="0" fontId="1" fillId="3" borderId="0" xfId="0" applyFont="1" applyFill="1"/>
    <xf numFmtId="0" fontId="0" fillId="3" borderId="0" xfId="0" applyFill="1"/>
    <xf numFmtId="0" fontId="1" fillId="4" borderId="0" xfId="0" applyFont="1" applyFill="1"/>
    <xf numFmtId="0" fontId="0" fillId="0" borderId="0" xfId="0"/>
    <xf numFmtId="0" fontId="2" fillId="0" borderId="0" xfId="0" applyFont="1" applyAlignment="1">
      <alignment horizontal="center"/>
    </xf>
    <xf numFmtId="0" fontId="0" fillId="0" borderId="0" xfId="0" pivotButton="1"/>
    <xf numFmtId="0" fontId="0" fillId="0" borderId="0" xfId="0" applyAlignment="1">
      <alignment horizontal="left"/>
    </xf>
    <xf numFmtId="0" fontId="1" fillId="5" borderId="1" xfId="0" applyFont="1" applyFill="1" applyBorder="1"/>
    <xf numFmtId="0" fontId="0" fillId="0" borderId="0" xfId="0" applyNumberFormat="1"/>
    <xf numFmtId="10" fontId="0" fillId="0" borderId="0" xfId="0" applyNumberFormat="1"/>
    <xf numFmtId="0" fontId="0" fillId="6" borderId="0" xfId="0" applyFill="1"/>
    <xf numFmtId="10" fontId="0" fillId="0" borderId="0" xfId="0" pivotButton="1" applyNumberFormat="1"/>
    <xf numFmtId="10" fontId="0" fillId="0" borderId="0" xfId="0" applyNumberFormat="1" applyAlignment="1">
      <alignment horizontal="left"/>
    </xf>
  </cellXfs>
  <cellStyles count="1">
    <cellStyle name="Normal" xfId="0" builtinId="0"/>
  </cellStyles>
  <dxfs count="19">
    <dxf>
      <numFmt numFmtId="14" formatCode="0.00%"/>
    </dxf>
    <dxf>
      <fill>
        <patternFill>
          <bgColor theme="4" tint="-0.24994659260841701"/>
        </patternFill>
      </fill>
    </dxf>
    <dxf>
      <fill>
        <patternFill>
          <bgColor rgb="FF92D050"/>
        </patternFill>
      </fill>
    </dxf>
    <dxf>
      <font>
        <color theme="0"/>
      </font>
      <fill>
        <patternFill>
          <bgColor rgb="FFFF0000"/>
        </patternFill>
      </fill>
    </dxf>
    <dxf>
      <fill>
        <patternFill>
          <bgColor rgb="FFFF9900"/>
        </patternFill>
      </fill>
    </dxf>
    <dxf>
      <font>
        <color theme="0"/>
      </font>
      <fill>
        <patternFill>
          <bgColor rgb="FF7030A0"/>
        </patternFill>
      </fill>
    </dxf>
    <dxf>
      <fill>
        <patternFill>
          <bgColor rgb="FFFFFF00"/>
        </patternFill>
      </fill>
    </dxf>
    <dxf>
      <fill>
        <patternFill>
          <bgColor theme="4" tint="-0.24994659260841701"/>
        </patternFill>
      </fill>
    </dxf>
    <dxf>
      <fill>
        <patternFill>
          <bgColor rgb="FF92D050"/>
        </patternFill>
      </fill>
    </dxf>
    <dxf>
      <font>
        <color theme="0"/>
      </font>
      <fill>
        <patternFill>
          <bgColor rgb="FFFF0000"/>
        </patternFill>
      </fill>
    </dxf>
    <dxf>
      <fill>
        <patternFill>
          <bgColor rgb="FFFF9900"/>
        </patternFill>
      </fill>
    </dxf>
    <dxf>
      <font>
        <color theme="0"/>
      </font>
      <fill>
        <patternFill>
          <bgColor rgb="FF7030A0"/>
        </patternFill>
      </fill>
    </dxf>
    <dxf>
      <fill>
        <patternFill>
          <bgColor rgb="FFFFFF00"/>
        </patternFill>
      </fill>
    </dxf>
    <dxf>
      <font>
        <b/>
        <i val="0"/>
        <strike val="0"/>
        <condense val="0"/>
        <extend val="0"/>
        <outline val="0"/>
        <shadow val="0"/>
        <u val="none"/>
        <vertAlign val="baseline"/>
        <sz val="11"/>
        <color theme="1"/>
        <name val="Garamond"/>
        <family val="2"/>
        <scheme val="minor"/>
      </font>
    </dxf>
    <dxf>
      <numFmt numFmtId="14" formatCode="0.00%"/>
    </dxf>
    <dxf>
      <numFmt numFmtId="14" formatCode="0.00%"/>
    </dxf>
    <dxf>
      <numFmt numFmtId="14" formatCode="0.00%"/>
    </dxf>
    <dxf>
      <font>
        <b/>
        <i val="0"/>
        <strike val="0"/>
        <condense val="0"/>
        <extend val="0"/>
        <outline val="0"/>
        <shadow val="0"/>
        <u val="none"/>
        <vertAlign val="baseline"/>
        <sz val="11"/>
        <color theme="1"/>
        <name val="Garamond"/>
        <family val="2"/>
        <scheme val="minor"/>
      </font>
    </dxf>
    <dxf>
      <numFmt numFmtId="13" formatCode="0%"/>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Analysis.xlsm]Sheet2!PivotTable1</c:name>
    <c:fmtId val="3"/>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Yearwise sales by account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Sheet2!$C$3</c:f>
              <c:strCache>
                <c:ptCount val="1"/>
                <c:pt idx="0">
                  <c:v>Sales in 2017</c:v>
                </c:pt>
              </c:strCache>
            </c:strRef>
          </c:tx>
          <c:spPr>
            <a:solidFill>
              <a:schemeClr val="accent1"/>
            </a:solidFill>
            <a:ln>
              <a:noFill/>
            </a:ln>
            <a:effectLst/>
          </c:spPr>
          <c:invertIfNegative val="0"/>
          <c:cat>
            <c:strRef>
              <c:f>Sheet2!$B$4:$B$8</c:f>
              <c:strCache>
                <c:ptCount val="4"/>
                <c:pt idx="0">
                  <c:v>Medium Business</c:v>
                </c:pt>
                <c:pt idx="1">
                  <c:v>Online Retailer</c:v>
                </c:pt>
                <c:pt idx="2">
                  <c:v>Small Business</c:v>
                </c:pt>
                <c:pt idx="3">
                  <c:v>Wholesale Distributor</c:v>
                </c:pt>
              </c:strCache>
            </c:strRef>
          </c:cat>
          <c:val>
            <c:numRef>
              <c:f>Sheet2!$C$4:$C$8</c:f>
              <c:numCache>
                <c:formatCode>General</c:formatCode>
                <c:ptCount val="4"/>
                <c:pt idx="0">
                  <c:v>46025</c:v>
                </c:pt>
                <c:pt idx="1">
                  <c:v>47259</c:v>
                </c:pt>
                <c:pt idx="2">
                  <c:v>51804</c:v>
                </c:pt>
                <c:pt idx="3">
                  <c:v>44888</c:v>
                </c:pt>
              </c:numCache>
            </c:numRef>
          </c:val>
          <c:extLst>
            <c:ext xmlns:c16="http://schemas.microsoft.com/office/drawing/2014/chart" uri="{C3380CC4-5D6E-409C-BE32-E72D297353CC}">
              <c16:uniqueId val="{00000000-6E21-4D37-B45F-86FCC94D2DBE}"/>
            </c:ext>
          </c:extLst>
        </c:ser>
        <c:ser>
          <c:idx val="1"/>
          <c:order val="1"/>
          <c:tx>
            <c:strRef>
              <c:f>Sheet2!$D$3</c:f>
              <c:strCache>
                <c:ptCount val="1"/>
                <c:pt idx="0">
                  <c:v>Sales in 2018</c:v>
                </c:pt>
              </c:strCache>
            </c:strRef>
          </c:tx>
          <c:spPr>
            <a:solidFill>
              <a:schemeClr val="accent2"/>
            </a:solidFill>
            <a:ln>
              <a:noFill/>
            </a:ln>
            <a:effectLst/>
          </c:spPr>
          <c:invertIfNegative val="0"/>
          <c:cat>
            <c:strRef>
              <c:f>Sheet2!$B$4:$B$8</c:f>
              <c:strCache>
                <c:ptCount val="4"/>
                <c:pt idx="0">
                  <c:v>Medium Business</c:v>
                </c:pt>
                <c:pt idx="1">
                  <c:v>Online Retailer</c:v>
                </c:pt>
                <c:pt idx="2">
                  <c:v>Small Business</c:v>
                </c:pt>
                <c:pt idx="3">
                  <c:v>Wholesale Distributor</c:v>
                </c:pt>
              </c:strCache>
            </c:strRef>
          </c:cat>
          <c:val>
            <c:numRef>
              <c:f>Sheet2!$D$4:$D$8</c:f>
              <c:numCache>
                <c:formatCode>General</c:formatCode>
                <c:ptCount val="4"/>
                <c:pt idx="0">
                  <c:v>65032</c:v>
                </c:pt>
                <c:pt idx="1">
                  <c:v>67275</c:v>
                </c:pt>
                <c:pt idx="2">
                  <c:v>60121</c:v>
                </c:pt>
                <c:pt idx="3">
                  <c:v>50567</c:v>
                </c:pt>
              </c:numCache>
            </c:numRef>
          </c:val>
          <c:extLst>
            <c:ext xmlns:c16="http://schemas.microsoft.com/office/drawing/2014/chart" uri="{C3380CC4-5D6E-409C-BE32-E72D297353CC}">
              <c16:uniqueId val="{00000001-6E21-4D37-B45F-86FCC94D2DBE}"/>
            </c:ext>
          </c:extLst>
        </c:ser>
        <c:ser>
          <c:idx val="2"/>
          <c:order val="2"/>
          <c:tx>
            <c:strRef>
              <c:f>Sheet2!$E$3</c:f>
              <c:strCache>
                <c:ptCount val="1"/>
                <c:pt idx="0">
                  <c:v>Sales in 2019</c:v>
                </c:pt>
              </c:strCache>
            </c:strRef>
          </c:tx>
          <c:spPr>
            <a:solidFill>
              <a:schemeClr val="accent3"/>
            </a:solidFill>
            <a:ln>
              <a:noFill/>
            </a:ln>
            <a:effectLst/>
          </c:spPr>
          <c:invertIfNegative val="0"/>
          <c:cat>
            <c:strRef>
              <c:f>Sheet2!$B$4:$B$8</c:f>
              <c:strCache>
                <c:ptCount val="4"/>
                <c:pt idx="0">
                  <c:v>Medium Business</c:v>
                </c:pt>
                <c:pt idx="1">
                  <c:v>Online Retailer</c:v>
                </c:pt>
                <c:pt idx="2">
                  <c:v>Small Business</c:v>
                </c:pt>
                <c:pt idx="3">
                  <c:v>Wholesale Distributor</c:v>
                </c:pt>
              </c:strCache>
            </c:strRef>
          </c:cat>
          <c:val>
            <c:numRef>
              <c:f>Sheet2!$E$4:$E$8</c:f>
              <c:numCache>
                <c:formatCode>General</c:formatCode>
                <c:ptCount val="4"/>
                <c:pt idx="0">
                  <c:v>77731</c:v>
                </c:pt>
                <c:pt idx="1">
                  <c:v>79646</c:v>
                </c:pt>
                <c:pt idx="2">
                  <c:v>60760</c:v>
                </c:pt>
                <c:pt idx="3">
                  <c:v>70312</c:v>
                </c:pt>
              </c:numCache>
            </c:numRef>
          </c:val>
          <c:extLst>
            <c:ext xmlns:c16="http://schemas.microsoft.com/office/drawing/2014/chart" uri="{C3380CC4-5D6E-409C-BE32-E72D297353CC}">
              <c16:uniqueId val="{00000002-6E21-4D37-B45F-86FCC94D2DBE}"/>
            </c:ext>
          </c:extLst>
        </c:ser>
        <c:ser>
          <c:idx val="3"/>
          <c:order val="3"/>
          <c:tx>
            <c:strRef>
              <c:f>Sheet2!$F$3</c:f>
              <c:strCache>
                <c:ptCount val="1"/>
                <c:pt idx="0">
                  <c:v>Sales in 2020</c:v>
                </c:pt>
              </c:strCache>
            </c:strRef>
          </c:tx>
          <c:spPr>
            <a:solidFill>
              <a:schemeClr val="accent4"/>
            </a:solidFill>
            <a:ln>
              <a:noFill/>
            </a:ln>
            <a:effectLst/>
          </c:spPr>
          <c:invertIfNegative val="0"/>
          <c:cat>
            <c:strRef>
              <c:f>Sheet2!$B$4:$B$8</c:f>
              <c:strCache>
                <c:ptCount val="4"/>
                <c:pt idx="0">
                  <c:v>Medium Business</c:v>
                </c:pt>
                <c:pt idx="1">
                  <c:v>Online Retailer</c:v>
                </c:pt>
                <c:pt idx="2">
                  <c:v>Small Business</c:v>
                </c:pt>
                <c:pt idx="3">
                  <c:v>Wholesale Distributor</c:v>
                </c:pt>
              </c:strCache>
            </c:strRef>
          </c:cat>
          <c:val>
            <c:numRef>
              <c:f>Sheet2!$F$4:$F$8</c:f>
              <c:numCache>
                <c:formatCode>General</c:formatCode>
                <c:ptCount val="4"/>
                <c:pt idx="0">
                  <c:v>89595</c:v>
                </c:pt>
                <c:pt idx="1">
                  <c:v>102065</c:v>
                </c:pt>
                <c:pt idx="2">
                  <c:v>75991</c:v>
                </c:pt>
                <c:pt idx="3">
                  <c:v>82583</c:v>
                </c:pt>
              </c:numCache>
            </c:numRef>
          </c:val>
          <c:extLst>
            <c:ext xmlns:c16="http://schemas.microsoft.com/office/drawing/2014/chart" uri="{C3380CC4-5D6E-409C-BE32-E72D297353CC}">
              <c16:uniqueId val="{00000003-6E21-4D37-B45F-86FCC94D2DBE}"/>
            </c:ext>
          </c:extLst>
        </c:ser>
        <c:ser>
          <c:idx val="4"/>
          <c:order val="4"/>
          <c:tx>
            <c:strRef>
              <c:f>Sheet2!$G$3</c:f>
              <c:strCache>
                <c:ptCount val="1"/>
                <c:pt idx="0">
                  <c:v>Sales in 2021</c:v>
                </c:pt>
              </c:strCache>
            </c:strRef>
          </c:tx>
          <c:spPr>
            <a:solidFill>
              <a:schemeClr val="accent5"/>
            </a:solidFill>
            <a:ln>
              <a:noFill/>
            </a:ln>
            <a:effectLst/>
          </c:spPr>
          <c:invertIfNegative val="0"/>
          <c:cat>
            <c:strRef>
              <c:f>Sheet2!$B$4:$B$8</c:f>
              <c:strCache>
                <c:ptCount val="4"/>
                <c:pt idx="0">
                  <c:v>Medium Business</c:v>
                </c:pt>
                <c:pt idx="1">
                  <c:v>Online Retailer</c:v>
                </c:pt>
                <c:pt idx="2">
                  <c:v>Small Business</c:v>
                </c:pt>
                <c:pt idx="3">
                  <c:v>Wholesale Distributor</c:v>
                </c:pt>
              </c:strCache>
            </c:strRef>
          </c:cat>
          <c:val>
            <c:numRef>
              <c:f>Sheet2!$G$4:$G$8</c:f>
              <c:numCache>
                <c:formatCode>General</c:formatCode>
                <c:ptCount val="4"/>
                <c:pt idx="0">
                  <c:v>102185</c:v>
                </c:pt>
                <c:pt idx="1">
                  <c:v>112270</c:v>
                </c:pt>
                <c:pt idx="2">
                  <c:v>94147</c:v>
                </c:pt>
                <c:pt idx="3">
                  <c:v>100592</c:v>
                </c:pt>
              </c:numCache>
            </c:numRef>
          </c:val>
          <c:extLst>
            <c:ext xmlns:c16="http://schemas.microsoft.com/office/drawing/2014/chart" uri="{C3380CC4-5D6E-409C-BE32-E72D297353CC}">
              <c16:uniqueId val="{00000004-6E21-4D37-B45F-86FCC94D2DBE}"/>
            </c:ext>
          </c:extLst>
        </c:ser>
        <c:dLbls>
          <c:showLegendKey val="0"/>
          <c:showVal val="0"/>
          <c:showCatName val="0"/>
          <c:showSerName val="0"/>
          <c:showPercent val="0"/>
          <c:showBubbleSize val="0"/>
        </c:dLbls>
        <c:gapWidth val="219"/>
        <c:overlap val="-27"/>
        <c:axId val="1552974591"/>
        <c:axId val="1552976255"/>
      </c:barChart>
      <c:catAx>
        <c:axId val="15529745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Account 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52976255"/>
        <c:crosses val="autoZero"/>
        <c:auto val="1"/>
        <c:lblAlgn val="ctr"/>
        <c:lblOffset val="100"/>
        <c:noMultiLvlLbl val="0"/>
      </c:catAx>
      <c:valAx>
        <c:axId val="15529762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552974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1">
            <a:tint val="60000"/>
            <a:lumMod val="110000"/>
          </a:schemeClr>
        </a:gs>
        <a:gs pos="100000">
          <a:schemeClr val="accent1">
            <a:tint val="82000"/>
          </a:schemeClr>
        </a:gs>
      </a:gsLst>
      <a:lin ang="5400000" scaled="0"/>
    </a:gradFill>
    <a:ln w="9525"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Analysis.xlsm]Sheet2!PivotTable32</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Sheet2!$C$10</c:f>
              <c:strCache>
                <c:ptCount val="1"/>
                <c:pt idx="0">
                  <c:v>Count of Social Media</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Sheet2!$B$11:$B$12</c:f>
              <c:strCache>
                <c:ptCount val="2"/>
                <c:pt idx="0">
                  <c:v>No</c:v>
                </c:pt>
                <c:pt idx="1">
                  <c:v>Yes</c:v>
                </c:pt>
              </c:strCache>
            </c:strRef>
          </c:cat>
          <c:val>
            <c:numRef>
              <c:f>Sheet2!$C$11:$C$12</c:f>
              <c:numCache>
                <c:formatCode>General</c:formatCode>
                <c:ptCount val="2"/>
                <c:pt idx="0">
                  <c:v>36</c:v>
                </c:pt>
                <c:pt idx="1">
                  <c:v>24</c:v>
                </c:pt>
              </c:numCache>
            </c:numRef>
          </c:val>
          <c:extLst>
            <c:ext xmlns:c16="http://schemas.microsoft.com/office/drawing/2014/chart" uri="{C3380CC4-5D6E-409C-BE32-E72D297353CC}">
              <c16:uniqueId val="{00000000-6310-44F4-8A89-569A33F21913}"/>
            </c:ext>
          </c:extLst>
        </c:ser>
        <c:dLbls>
          <c:dLblPos val="outEnd"/>
          <c:showLegendKey val="0"/>
          <c:showVal val="1"/>
          <c:showCatName val="0"/>
          <c:showSerName val="0"/>
          <c:showPercent val="0"/>
          <c:showBubbleSize val="0"/>
        </c:dLbls>
        <c:gapWidth val="219"/>
        <c:overlap val="-27"/>
        <c:axId val="2086847631"/>
        <c:axId val="2086837231"/>
      </c:barChart>
      <c:lineChart>
        <c:grouping val="standard"/>
        <c:varyColors val="0"/>
        <c:ser>
          <c:idx val="1"/>
          <c:order val="1"/>
          <c:tx>
            <c:strRef>
              <c:f>Sheet2!$D$10</c:f>
              <c:strCache>
                <c:ptCount val="1"/>
                <c:pt idx="0">
                  <c:v>Average of 5 YR CAGR</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Sheet2!$B$11:$B$12</c:f>
              <c:strCache>
                <c:ptCount val="2"/>
                <c:pt idx="0">
                  <c:v>No</c:v>
                </c:pt>
                <c:pt idx="1">
                  <c:v>Yes</c:v>
                </c:pt>
              </c:strCache>
            </c:strRef>
          </c:cat>
          <c:val>
            <c:numRef>
              <c:f>Sheet2!$D$11:$D$12</c:f>
              <c:numCache>
                <c:formatCode>0.00%</c:formatCode>
                <c:ptCount val="2"/>
                <c:pt idx="0">
                  <c:v>0.17485748558288577</c:v>
                </c:pt>
                <c:pt idx="1">
                  <c:v>0.9747262551782816</c:v>
                </c:pt>
              </c:numCache>
            </c:numRef>
          </c:val>
          <c:smooth val="0"/>
          <c:extLst>
            <c:ext xmlns:c16="http://schemas.microsoft.com/office/drawing/2014/chart" uri="{C3380CC4-5D6E-409C-BE32-E72D297353CC}">
              <c16:uniqueId val="{00000001-6310-44F4-8A89-569A33F21913}"/>
            </c:ext>
          </c:extLst>
        </c:ser>
        <c:dLbls>
          <c:showLegendKey val="0"/>
          <c:showVal val="1"/>
          <c:showCatName val="0"/>
          <c:showSerName val="0"/>
          <c:showPercent val="0"/>
          <c:showBubbleSize val="0"/>
        </c:dLbls>
        <c:marker val="1"/>
        <c:smooth val="0"/>
        <c:axId val="2086859279"/>
        <c:axId val="2086858031"/>
      </c:lineChart>
      <c:catAx>
        <c:axId val="20868476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6837231"/>
        <c:crosses val="autoZero"/>
        <c:auto val="1"/>
        <c:lblAlgn val="ctr"/>
        <c:lblOffset val="100"/>
        <c:noMultiLvlLbl val="0"/>
      </c:catAx>
      <c:valAx>
        <c:axId val="20868372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6847631"/>
        <c:crosses val="autoZero"/>
        <c:crossBetween val="between"/>
      </c:valAx>
      <c:valAx>
        <c:axId val="208685803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6859279"/>
        <c:crosses val="max"/>
        <c:crossBetween val="between"/>
      </c:valAx>
      <c:catAx>
        <c:axId val="2086859279"/>
        <c:scaling>
          <c:orientation val="minMax"/>
        </c:scaling>
        <c:delete val="1"/>
        <c:axPos val="b"/>
        <c:numFmt formatCode="General" sourceLinked="1"/>
        <c:majorTickMark val="out"/>
        <c:minorTickMark val="none"/>
        <c:tickLblPos val="nextTo"/>
        <c:crossAx val="2086858031"/>
        <c:crosses val="autoZero"/>
        <c:auto val="1"/>
        <c:lblAlgn val="ctr"/>
        <c:lblOffset val="100"/>
        <c:noMultiLvlLbl val="0"/>
      </c:catAx>
      <c:spPr>
        <a:noFill/>
        <a:ln>
          <a:noFill/>
        </a:ln>
        <a:effectLst/>
      </c:spPr>
    </c:plotArea>
    <c:legend>
      <c:legendPos val="b"/>
      <c:layout>
        <c:manualLayout>
          <c:xMode val="edge"/>
          <c:yMode val="edge"/>
          <c:x val="1.1295567220764059E-2"/>
          <c:y val="0.83079906678331872"/>
          <c:w val="0.97740886555847173"/>
          <c:h val="0.141423155438903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1">
            <a:tint val="60000"/>
            <a:lumMod val="110000"/>
          </a:schemeClr>
        </a:gs>
        <a:gs pos="100000">
          <a:schemeClr val="accent1">
            <a:tint val="82000"/>
          </a:schemeClr>
        </a:gs>
      </a:gsLst>
      <a:lin ang="5400000" scaled="0"/>
    </a:gradFill>
    <a:ln w="9525"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Analysis.xlsm]Sheet2!PivotTable33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Sheet2!$C$14</c:f>
              <c:strCache>
                <c:ptCount val="1"/>
                <c:pt idx="0">
                  <c:v>Count of Catalog Inclusion</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Sheet2!$B$15:$B$16</c:f>
              <c:strCache>
                <c:ptCount val="2"/>
                <c:pt idx="0">
                  <c:v>No</c:v>
                </c:pt>
                <c:pt idx="1">
                  <c:v>Yes</c:v>
                </c:pt>
              </c:strCache>
            </c:strRef>
          </c:cat>
          <c:val>
            <c:numRef>
              <c:f>Sheet2!$C$15:$C$16</c:f>
              <c:numCache>
                <c:formatCode>General</c:formatCode>
                <c:ptCount val="2"/>
                <c:pt idx="0">
                  <c:v>17</c:v>
                </c:pt>
                <c:pt idx="1">
                  <c:v>42</c:v>
                </c:pt>
              </c:numCache>
            </c:numRef>
          </c:val>
          <c:extLst>
            <c:ext xmlns:c16="http://schemas.microsoft.com/office/drawing/2014/chart" uri="{C3380CC4-5D6E-409C-BE32-E72D297353CC}">
              <c16:uniqueId val="{00000000-E2EF-4C51-B1E8-8133A4C140D0}"/>
            </c:ext>
          </c:extLst>
        </c:ser>
        <c:dLbls>
          <c:showLegendKey val="0"/>
          <c:showVal val="1"/>
          <c:showCatName val="0"/>
          <c:showSerName val="0"/>
          <c:showPercent val="0"/>
          <c:showBubbleSize val="0"/>
        </c:dLbls>
        <c:gapWidth val="219"/>
        <c:overlap val="-27"/>
        <c:axId val="2088060463"/>
        <c:axId val="2088058383"/>
      </c:barChart>
      <c:lineChart>
        <c:grouping val="standard"/>
        <c:varyColors val="0"/>
        <c:ser>
          <c:idx val="1"/>
          <c:order val="1"/>
          <c:tx>
            <c:strRef>
              <c:f>Sheet2!$D$14</c:f>
              <c:strCache>
                <c:ptCount val="1"/>
                <c:pt idx="0">
                  <c:v>Average of 5 YR CAGR</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Sheet2!$B$15:$B$16</c:f>
              <c:strCache>
                <c:ptCount val="2"/>
                <c:pt idx="0">
                  <c:v>No</c:v>
                </c:pt>
                <c:pt idx="1">
                  <c:v>Yes</c:v>
                </c:pt>
              </c:strCache>
            </c:strRef>
          </c:cat>
          <c:val>
            <c:numRef>
              <c:f>Sheet2!$D$15:$D$16</c:f>
              <c:numCache>
                <c:formatCode>0.00%</c:formatCode>
                <c:ptCount val="2"/>
                <c:pt idx="0">
                  <c:v>0.12744734637005947</c:v>
                </c:pt>
                <c:pt idx="1">
                  <c:v>0.5755209527738494</c:v>
                </c:pt>
              </c:numCache>
            </c:numRef>
          </c:val>
          <c:smooth val="0"/>
          <c:extLst>
            <c:ext xmlns:c16="http://schemas.microsoft.com/office/drawing/2014/chart" uri="{C3380CC4-5D6E-409C-BE32-E72D297353CC}">
              <c16:uniqueId val="{00000001-E2EF-4C51-B1E8-8133A4C140D0}"/>
            </c:ext>
          </c:extLst>
        </c:ser>
        <c:dLbls>
          <c:showLegendKey val="0"/>
          <c:showVal val="1"/>
          <c:showCatName val="0"/>
          <c:showSerName val="0"/>
          <c:showPercent val="0"/>
          <c:showBubbleSize val="0"/>
        </c:dLbls>
        <c:marker val="1"/>
        <c:smooth val="0"/>
        <c:axId val="2088050895"/>
        <c:axId val="2088072943"/>
      </c:lineChart>
      <c:catAx>
        <c:axId val="2088060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058383"/>
        <c:crosses val="autoZero"/>
        <c:auto val="1"/>
        <c:lblAlgn val="ctr"/>
        <c:lblOffset val="100"/>
        <c:noMultiLvlLbl val="0"/>
      </c:catAx>
      <c:valAx>
        <c:axId val="20880583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060463"/>
        <c:crosses val="autoZero"/>
        <c:crossBetween val="between"/>
      </c:valAx>
      <c:valAx>
        <c:axId val="208807294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050895"/>
        <c:crosses val="max"/>
        <c:crossBetween val="between"/>
      </c:valAx>
      <c:catAx>
        <c:axId val="2088050895"/>
        <c:scaling>
          <c:orientation val="minMax"/>
        </c:scaling>
        <c:delete val="1"/>
        <c:axPos val="b"/>
        <c:numFmt formatCode="General" sourceLinked="1"/>
        <c:majorTickMark val="out"/>
        <c:minorTickMark val="none"/>
        <c:tickLblPos val="nextTo"/>
        <c:crossAx val="2088072943"/>
        <c:crosses val="autoZero"/>
        <c:auto val="1"/>
        <c:lblAlgn val="ctr"/>
        <c:lblOffset val="100"/>
        <c:noMultiLvlLbl val="0"/>
      </c:catAx>
      <c:spPr>
        <a:noFill/>
        <a:ln>
          <a:noFill/>
        </a:ln>
        <a:effectLst/>
      </c:spPr>
    </c:plotArea>
    <c:legend>
      <c:legendPos val="b"/>
      <c:layout>
        <c:manualLayout>
          <c:xMode val="edge"/>
          <c:yMode val="edge"/>
          <c:x val="1.1515383493729952E-2"/>
          <c:y val="0.83079906678331872"/>
          <c:w val="0.98159886264216989"/>
          <c:h val="0.141423155438903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1">
            <a:tint val="60000"/>
            <a:lumMod val="110000"/>
          </a:schemeClr>
        </a:gs>
        <a:gs pos="100000">
          <a:schemeClr val="accent1">
            <a:tint val="82000"/>
          </a:schemeClr>
        </a:gs>
      </a:gsLst>
      <a:lin ang="5400000" scaled="0"/>
    </a:gradFill>
    <a:ln w="9525"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Analysis.xlsm]Sheet2!PivotTable31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57166812481773"/>
          <c:y val="5.0925925925925923E-2"/>
          <c:w val="0.70837962962962964"/>
          <c:h val="0.66971128608923891"/>
        </c:manualLayout>
      </c:layout>
      <c:barChart>
        <c:barDir val="col"/>
        <c:grouping val="clustered"/>
        <c:varyColors val="0"/>
        <c:ser>
          <c:idx val="0"/>
          <c:order val="0"/>
          <c:tx>
            <c:strRef>
              <c:f>Sheet2!$C$18</c:f>
              <c:strCache>
                <c:ptCount val="1"/>
                <c:pt idx="0">
                  <c:v>Count of Coupons</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Sheet2!$B$19:$B$20</c:f>
              <c:strCache>
                <c:ptCount val="2"/>
                <c:pt idx="0">
                  <c:v>No</c:v>
                </c:pt>
                <c:pt idx="1">
                  <c:v>Yes</c:v>
                </c:pt>
              </c:strCache>
            </c:strRef>
          </c:cat>
          <c:val>
            <c:numRef>
              <c:f>Sheet2!$C$19:$C$20</c:f>
              <c:numCache>
                <c:formatCode>General</c:formatCode>
                <c:ptCount val="2"/>
                <c:pt idx="0">
                  <c:v>40</c:v>
                </c:pt>
                <c:pt idx="1">
                  <c:v>19</c:v>
                </c:pt>
              </c:numCache>
            </c:numRef>
          </c:val>
          <c:extLst>
            <c:ext xmlns:c16="http://schemas.microsoft.com/office/drawing/2014/chart" uri="{C3380CC4-5D6E-409C-BE32-E72D297353CC}">
              <c16:uniqueId val="{00000000-2695-4002-9A9B-C2ED65BEC2DF}"/>
            </c:ext>
          </c:extLst>
        </c:ser>
        <c:dLbls>
          <c:showLegendKey val="0"/>
          <c:showVal val="1"/>
          <c:showCatName val="0"/>
          <c:showSerName val="0"/>
          <c:showPercent val="0"/>
          <c:showBubbleSize val="0"/>
        </c:dLbls>
        <c:gapWidth val="219"/>
        <c:overlap val="-27"/>
        <c:axId val="2088097903"/>
        <c:axId val="2088094159"/>
      </c:barChart>
      <c:lineChart>
        <c:grouping val="standard"/>
        <c:varyColors val="0"/>
        <c:ser>
          <c:idx val="1"/>
          <c:order val="1"/>
          <c:tx>
            <c:strRef>
              <c:f>Sheet2!$D$18</c:f>
              <c:strCache>
                <c:ptCount val="1"/>
                <c:pt idx="0">
                  <c:v>Average of 5 YR CAGR</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Sheet2!$B$19:$B$20</c:f>
              <c:strCache>
                <c:ptCount val="2"/>
                <c:pt idx="0">
                  <c:v>No</c:v>
                </c:pt>
                <c:pt idx="1">
                  <c:v>Yes</c:v>
                </c:pt>
              </c:strCache>
            </c:strRef>
          </c:cat>
          <c:val>
            <c:numRef>
              <c:f>Sheet2!$D$19:$D$20</c:f>
              <c:numCache>
                <c:formatCode>0.00%</c:formatCode>
                <c:ptCount val="2"/>
                <c:pt idx="0">
                  <c:v>0.34165653805738999</c:v>
                </c:pt>
                <c:pt idx="1">
                  <c:v>0.66695912539458369</c:v>
                </c:pt>
              </c:numCache>
            </c:numRef>
          </c:val>
          <c:smooth val="0"/>
          <c:extLst>
            <c:ext xmlns:c16="http://schemas.microsoft.com/office/drawing/2014/chart" uri="{C3380CC4-5D6E-409C-BE32-E72D297353CC}">
              <c16:uniqueId val="{00000001-2695-4002-9A9B-C2ED65BEC2DF}"/>
            </c:ext>
          </c:extLst>
        </c:ser>
        <c:dLbls>
          <c:showLegendKey val="0"/>
          <c:showVal val="1"/>
          <c:showCatName val="0"/>
          <c:showSerName val="0"/>
          <c:showPercent val="0"/>
          <c:showBubbleSize val="0"/>
        </c:dLbls>
        <c:marker val="1"/>
        <c:smooth val="0"/>
        <c:axId val="2088081263"/>
        <c:axId val="2088088751"/>
      </c:lineChart>
      <c:catAx>
        <c:axId val="2088097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094159"/>
        <c:crosses val="autoZero"/>
        <c:auto val="1"/>
        <c:lblAlgn val="ctr"/>
        <c:lblOffset val="100"/>
        <c:noMultiLvlLbl val="0"/>
      </c:catAx>
      <c:valAx>
        <c:axId val="20880941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097903"/>
        <c:crosses val="autoZero"/>
        <c:crossBetween val="between"/>
      </c:valAx>
      <c:valAx>
        <c:axId val="2088088751"/>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081263"/>
        <c:crosses val="max"/>
        <c:crossBetween val="between"/>
      </c:valAx>
      <c:catAx>
        <c:axId val="2088081263"/>
        <c:scaling>
          <c:orientation val="minMax"/>
        </c:scaling>
        <c:delete val="1"/>
        <c:axPos val="b"/>
        <c:numFmt formatCode="General" sourceLinked="1"/>
        <c:majorTickMark val="out"/>
        <c:minorTickMark val="none"/>
        <c:tickLblPos val="nextTo"/>
        <c:crossAx val="2088088751"/>
        <c:crosses val="autoZero"/>
        <c:auto val="1"/>
        <c:lblAlgn val="ctr"/>
        <c:lblOffset val="100"/>
        <c:noMultiLvlLbl val="0"/>
      </c:catAx>
      <c:spPr>
        <a:noFill/>
        <a:ln>
          <a:noFill/>
        </a:ln>
        <a:effectLst/>
      </c:spPr>
    </c:plotArea>
    <c:legend>
      <c:legendPos val="b"/>
      <c:layout>
        <c:manualLayout>
          <c:xMode val="edge"/>
          <c:yMode val="edge"/>
          <c:x val="4.3702974628171472E-2"/>
          <c:y val="0.84468795567220767"/>
          <c:w val="0.92185331000291626"/>
          <c:h val="0.141423155438903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1">
            <a:tint val="60000"/>
            <a:lumMod val="110000"/>
          </a:schemeClr>
        </a:gs>
        <a:gs pos="100000">
          <a:schemeClr val="accent1">
            <a:tint val="82000"/>
          </a:schemeClr>
        </a:gs>
      </a:gsLst>
      <a:lin ang="5400000" scaled="0"/>
    </a:gradFill>
    <a:ln w="9525"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Analysis.xlsm]Sheet2!PivotTable34</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Sheet2!$C$22</c:f>
              <c:strCache>
                <c:ptCount val="1"/>
                <c:pt idx="0">
                  <c:v>Count of Posters</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Sheet2!$B$23:$B$24</c:f>
              <c:strCache>
                <c:ptCount val="2"/>
                <c:pt idx="0">
                  <c:v>No</c:v>
                </c:pt>
                <c:pt idx="1">
                  <c:v>Yes</c:v>
                </c:pt>
              </c:strCache>
            </c:strRef>
          </c:cat>
          <c:val>
            <c:numRef>
              <c:f>Sheet2!$C$23:$C$24</c:f>
              <c:numCache>
                <c:formatCode>General</c:formatCode>
                <c:ptCount val="2"/>
                <c:pt idx="0">
                  <c:v>43</c:v>
                </c:pt>
                <c:pt idx="1">
                  <c:v>17</c:v>
                </c:pt>
              </c:numCache>
            </c:numRef>
          </c:val>
          <c:extLst>
            <c:ext xmlns:c16="http://schemas.microsoft.com/office/drawing/2014/chart" uri="{C3380CC4-5D6E-409C-BE32-E72D297353CC}">
              <c16:uniqueId val="{00000000-A83A-458D-ADBE-2EFADE7AF536}"/>
            </c:ext>
          </c:extLst>
        </c:ser>
        <c:dLbls>
          <c:showLegendKey val="0"/>
          <c:showVal val="1"/>
          <c:showCatName val="0"/>
          <c:showSerName val="0"/>
          <c:showPercent val="0"/>
          <c:showBubbleSize val="0"/>
        </c:dLbls>
        <c:gapWidth val="219"/>
        <c:overlap val="-27"/>
        <c:axId val="2088133679"/>
        <c:axId val="2088137007"/>
      </c:barChart>
      <c:lineChart>
        <c:grouping val="standard"/>
        <c:varyColors val="0"/>
        <c:ser>
          <c:idx val="1"/>
          <c:order val="1"/>
          <c:tx>
            <c:strRef>
              <c:f>Sheet2!$D$22</c:f>
              <c:strCache>
                <c:ptCount val="1"/>
                <c:pt idx="0">
                  <c:v>Average of 5 YR CAGR</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Sheet2!$B$23:$B$24</c:f>
              <c:strCache>
                <c:ptCount val="2"/>
                <c:pt idx="0">
                  <c:v>No</c:v>
                </c:pt>
                <c:pt idx="1">
                  <c:v>Yes</c:v>
                </c:pt>
              </c:strCache>
            </c:strRef>
          </c:cat>
          <c:val>
            <c:numRef>
              <c:f>Sheet2!$D$23:$D$24</c:f>
              <c:numCache>
                <c:formatCode>0.00%</c:formatCode>
                <c:ptCount val="2"/>
                <c:pt idx="0">
                  <c:v>0.44778467976494712</c:v>
                </c:pt>
                <c:pt idx="1">
                  <c:v>0.61373872796293627</c:v>
                </c:pt>
              </c:numCache>
            </c:numRef>
          </c:val>
          <c:smooth val="0"/>
          <c:extLst>
            <c:ext xmlns:c16="http://schemas.microsoft.com/office/drawing/2014/chart" uri="{C3380CC4-5D6E-409C-BE32-E72D297353CC}">
              <c16:uniqueId val="{00000001-A83A-458D-ADBE-2EFADE7AF536}"/>
            </c:ext>
          </c:extLst>
        </c:ser>
        <c:dLbls>
          <c:showLegendKey val="0"/>
          <c:showVal val="1"/>
          <c:showCatName val="0"/>
          <c:showSerName val="0"/>
          <c:showPercent val="0"/>
          <c:showBubbleSize val="0"/>
        </c:dLbls>
        <c:marker val="1"/>
        <c:smooth val="0"/>
        <c:axId val="2088140335"/>
        <c:axId val="2088151983"/>
      </c:lineChart>
      <c:catAx>
        <c:axId val="2088133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137007"/>
        <c:crosses val="autoZero"/>
        <c:auto val="1"/>
        <c:lblAlgn val="ctr"/>
        <c:lblOffset val="100"/>
        <c:noMultiLvlLbl val="0"/>
      </c:catAx>
      <c:valAx>
        <c:axId val="20881370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133679"/>
        <c:crosses val="autoZero"/>
        <c:crossBetween val="between"/>
      </c:valAx>
      <c:valAx>
        <c:axId val="2088151983"/>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140335"/>
        <c:crosses val="max"/>
        <c:crossBetween val="between"/>
      </c:valAx>
      <c:catAx>
        <c:axId val="2088140335"/>
        <c:scaling>
          <c:orientation val="minMax"/>
        </c:scaling>
        <c:delete val="1"/>
        <c:axPos val="b"/>
        <c:numFmt formatCode="General" sourceLinked="1"/>
        <c:majorTickMark val="out"/>
        <c:minorTickMark val="none"/>
        <c:tickLblPos val="nextTo"/>
        <c:crossAx val="20881519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1">
            <a:tint val="60000"/>
            <a:lumMod val="110000"/>
          </a:schemeClr>
        </a:gs>
        <a:gs pos="100000">
          <a:schemeClr val="accent1">
            <a:tint val="82000"/>
          </a:schemeClr>
        </a:gs>
      </a:gsLst>
      <a:lin ang="5400000" scaled="0"/>
    </a:gradFill>
    <a:ln w="9525" cap="flat" cmpd="sng" algn="ctr">
      <a:solidFill>
        <a:schemeClr val="accent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Analysis.xlsm]Sheet2!PivotTable39</c:name>
    <c:fmtId val="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00206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FF0000"/>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Sheet2!$G$10</c:f>
              <c:strCache>
                <c:ptCount val="1"/>
                <c:pt idx="0">
                  <c:v>Sales in 2017</c:v>
                </c:pt>
              </c:strCache>
            </c:strRef>
          </c:tx>
          <c:spPr>
            <a:ln w="28575" cap="rnd">
              <a:solidFill>
                <a:srgbClr val="002060"/>
              </a:solidFill>
              <a:round/>
            </a:ln>
            <a:effectLst/>
          </c:spPr>
          <c:marker>
            <c:symbol val="none"/>
          </c:marker>
          <c:cat>
            <c:strRef>
              <c:f>Sheet2!$F$11:$F$69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Sheet2!$G$11:$G$69</c:f>
              <c:numCache>
                <c:formatCode>General</c:formatCode>
                <c:ptCount val="59"/>
                <c:pt idx="0">
                  <c:v>8156</c:v>
                </c:pt>
                <c:pt idx="1">
                  <c:v>9252</c:v>
                </c:pt>
                <c:pt idx="2">
                  <c:v>9058</c:v>
                </c:pt>
                <c:pt idx="3">
                  <c:v>8331</c:v>
                </c:pt>
                <c:pt idx="4">
                  <c:v>7840</c:v>
                </c:pt>
                <c:pt idx="5">
                  <c:v>6156</c:v>
                </c:pt>
                <c:pt idx="6">
                  <c:v>7703</c:v>
                </c:pt>
                <c:pt idx="7">
                  <c:v>8466</c:v>
                </c:pt>
                <c:pt idx="8">
                  <c:v>9766</c:v>
                </c:pt>
                <c:pt idx="9">
                  <c:v>7555</c:v>
                </c:pt>
                <c:pt idx="10">
                  <c:v>8034</c:v>
                </c:pt>
                <c:pt idx="11">
                  <c:v>9773</c:v>
                </c:pt>
                <c:pt idx="12">
                  <c:v>8891</c:v>
                </c:pt>
                <c:pt idx="13">
                  <c:v>9791</c:v>
                </c:pt>
                <c:pt idx="14">
                  <c:v>6309</c:v>
                </c:pt>
                <c:pt idx="15">
                  <c:v>8873</c:v>
                </c:pt>
                <c:pt idx="16">
                  <c:v>2487</c:v>
                </c:pt>
                <c:pt idx="17">
                  <c:v>3916</c:v>
                </c:pt>
                <c:pt idx="18">
                  <c:v>2390</c:v>
                </c:pt>
                <c:pt idx="19">
                  <c:v>2786</c:v>
                </c:pt>
                <c:pt idx="20">
                  <c:v>3501</c:v>
                </c:pt>
                <c:pt idx="21">
                  <c:v>3297</c:v>
                </c:pt>
                <c:pt idx="22">
                  <c:v>2519</c:v>
                </c:pt>
                <c:pt idx="23">
                  <c:v>1532</c:v>
                </c:pt>
                <c:pt idx="24">
                  <c:v>2541</c:v>
                </c:pt>
                <c:pt idx="25">
                  <c:v>2341</c:v>
                </c:pt>
                <c:pt idx="26">
                  <c:v>1530</c:v>
                </c:pt>
                <c:pt idx="27">
                  <c:v>1421</c:v>
                </c:pt>
                <c:pt idx="28">
                  <c:v>1982</c:v>
                </c:pt>
                <c:pt idx="29">
                  <c:v>1779</c:v>
                </c:pt>
                <c:pt idx="30">
                  <c:v>1323</c:v>
                </c:pt>
                <c:pt idx="31">
                  <c:v>1032</c:v>
                </c:pt>
                <c:pt idx="32">
                  <c:v>1497</c:v>
                </c:pt>
                <c:pt idx="33">
                  <c:v>1290</c:v>
                </c:pt>
                <c:pt idx="34">
                  <c:v>1357</c:v>
                </c:pt>
                <c:pt idx="35">
                  <c:v>1368</c:v>
                </c:pt>
                <c:pt idx="36">
                  <c:v>1014</c:v>
                </c:pt>
                <c:pt idx="37">
                  <c:v>1263</c:v>
                </c:pt>
                <c:pt idx="38">
                  <c:v>1209</c:v>
                </c:pt>
                <c:pt idx="39">
                  <c:v>1082</c:v>
                </c:pt>
                <c:pt idx="40">
                  <c:v>1092</c:v>
                </c:pt>
                <c:pt idx="41">
                  <c:v>576</c:v>
                </c:pt>
                <c:pt idx="42">
                  <c:v>1038</c:v>
                </c:pt>
                <c:pt idx="43">
                  <c:v>861</c:v>
                </c:pt>
                <c:pt idx="44">
                  <c:v>870</c:v>
                </c:pt>
                <c:pt idx="45">
                  <c:v>712</c:v>
                </c:pt>
                <c:pt idx="46">
                  <c:v>700</c:v>
                </c:pt>
                <c:pt idx="47">
                  <c:v>742</c:v>
                </c:pt>
                <c:pt idx="48">
                  <c:v>570</c:v>
                </c:pt>
                <c:pt idx="49">
                  <c:v>488</c:v>
                </c:pt>
                <c:pt idx="50">
                  <c:v>431</c:v>
                </c:pt>
                <c:pt idx="51">
                  <c:v>376</c:v>
                </c:pt>
                <c:pt idx="52">
                  <c:v>299</c:v>
                </c:pt>
                <c:pt idx="53">
                  <c:v>238</c:v>
                </c:pt>
                <c:pt idx="54">
                  <c:v>209</c:v>
                </c:pt>
                <c:pt idx="55">
                  <c:v>128</c:v>
                </c:pt>
                <c:pt idx="56">
                  <c:v>138</c:v>
                </c:pt>
                <c:pt idx="57">
                  <c:v>73</c:v>
                </c:pt>
                <c:pt idx="58">
                  <c:v>24</c:v>
                </c:pt>
              </c:numCache>
            </c:numRef>
          </c:val>
          <c:smooth val="0"/>
          <c:extLst>
            <c:ext xmlns:c16="http://schemas.microsoft.com/office/drawing/2014/chart" uri="{C3380CC4-5D6E-409C-BE32-E72D297353CC}">
              <c16:uniqueId val="{00000000-7CE7-4BD3-813D-1A4B6134294D}"/>
            </c:ext>
          </c:extLst>
        </c:ser>
        <c:ser>
          <c:idx val="1"/>
          <c:order val="1"/>
          <c:tx>
            <c:strRef>
              <c:f>Sheet2!$H$10</c:f>
              <c:strCache>
                <c:ptCount val="1"/>
                <c:pt idx="0">
                  <c:v>Sales in 2018</c:v>
                </c:pt>
              </c:strCache>
            </c:strRef>
          </c:tx>
          <c:spPr>
            <a:ln w="28575" cap="rnd">
              <a:solidFill>
                <a:schemeClr val="accent2"/>
              </a:solidFill>
              <a:round/>
            </a:ln>
            <a:effectLst/>
          </c:spPr>
          <c:marker>
            <c:symbol val="none"/>
          </c:marker>
          <c:cat>
            <c:strRef>
              <c:f>Sheet2!$F$11:$F$69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Sheet2!$H$11:$H$69</c:f>
              <c:numCache>
                <c:formatCode>General</c:formatCode>
                <c:ptCount val="59"/>
                <c:pt idx="0">
                  <c:v>1245</c:v>
                </c:pt>
                <c:pt idx="1">
                  <c:v>8499</c:v>
                </c:pt>
                <c:pt idx="2">
                  <c:v>4839</c:v>
                </c:pt>
                <c:pt idx="3">
                  <c:v>7667</c:v>
                </c:pt>
                <c:pt idx="4">
                  <c:v>5804</c:v>
                </c:pt>
                <c:pt idx="5">
                  <c:v>6110</c:v>
                </c:pt>
                <c:pt idx="6">
                  <c:v>6957</c:v>
                </c:pt>
                <c:pt idx="7">
                  <c:v>4079</c:v>
                </c:pt>
                <c:pt idx="8">
                  <c:v>8049</c:v>
                </c:pt>
                <c:pt idx="9">
                  <c:v>6551</c:v>
                </c:pt>
                <c:pt idx="10">
                  <c:v>6541</c:v>
                </c:pt>
                <c:pt idx="11">
                  <c:v>9179</c:v>
                </c:pt>
                <c:pt idx="12">
                  <c:v>5952</c:v>
                </c:pt>
                <c:pt idx="13">
                  <c:v>9610</c:v>
                </c:pt>
                <c:pt idx="14">
                  <c:v>6227</c:v>
                </c:pt>
                <c:pt idx="15">
                  <c:v>8484</c:v>
                </c:pt>
                <c:pt idx="16">
                  <c:v>6050</c:v>
                </c:pt>
                <c:pt idx="17">
                  <c:v>4218</c:v>
                </c:pt>
                <c:pt idx="18">
                  <c:v>2415</c:v>
                </c:pt>
                <c:pt idx="19">
                  <c:v>3804</c:v>
                </c:pt>
                <c:pt idx="20">
                  <c:v>7079</c:v>
                </c:pt>
                <c:pt idx="21">
                  <c:v>4866</c:v>
                </c:pt>
                <c:pt idx="22">
                  <c:v>3938</c:v>
                </c:pt>
                <c:pt idx="23">
                  <c:v>2678</c:v>
                </c:pt>
                <c:pt idx="24">
                  <c:v>3794</c:v>
                </c:pt>
                <c:pt idx="25">
                  <c:v>6105</c:v>
                </c:pt>
                <c:pt idx="26">
                  <c:v>1620</c:v>
                </c:pt>
                <c:pt idx="27">
                  <c:v>1893</c:v>
                </c:pt>
                <c:pt idx="28">
                  <c:v>5388</c:v>
                </c:pt>
                <c:pt idx="29">
                  <c:v>2124</c:v>
                </c:pt>
                <c:pt idx="30">
                  <c:v>4963</c:v>
                </c:pt>
                <c:pt idx="31">
                  <c:v>3919</c:v>
                </c:pt>
                <c:pt idx="32">
                  <c:v>1768</c:v>
                </c:pt>
                <c:pt idx="33">
                  <c:v>4033</c:v>
                </c:pt>
                <c:pt idx="34">
                  <c:v>4189</c:v>
                </c:pt>
                <c:pt idx="35">
                  <c:v>3447</c:v>
                </c:pt>
                <c:pt idx="36">
                  <c:v>2254</c:v>
                </c:pt>
                <c:pt idx="37">
                  <c:v>2517</c:v>
                </c:pt>
                <c:pt idx="38">
                  <c:v>1534</c:v>
                </c:pt>
                <c:pt idx="39">
                  <c:v>3353</c:v>
                </c:pt>
                <c:pt idx="40">
                  <c:v>3140</c:v>
                </c:pt>
                <c:pt idx="41">
                  <c:v>2628</c:v>
                </c:pt>
                <c:pt idx="42">
                  <c:v>3615</c:v>
                </c:pt>
                <c:pt idx="43">
                  <c:v>1314</c:v>
                </c:pt>
                <c:pt idx="44">
                  <c:v>2428</c:v>
                </c:pt>
                <c:pt idx="45">
                  <c:v>4182</c:v>
                </c:pt>
                <c:pt idx="46">
                  <c:v>5721</c:v>
                </c:pt>
                <c:pt idx="47">
                  <c:v>3751</c:v>
                </c:pt>
                <c:pt idx="48">
                  <c:v>1322</c:v>
                </c:pt>
                <c:pt idx="49">
                  <c:v>5535</c:v>
                </c:pt>
                <c:pt idx="50">
                  <c:v>6231</c:v>
                </c:pt>
                <c:pt idx="51">
                  <c:v>889</c:v>
                </c:pt>
                <c:pt idx="52">
                  <c:v>657</c:v>
                </c:pt>
                <c:pt idx="53">
                  <c:v>1235</c:v>
                </c:pt>
                <c:pt idx="54">
                  <c:v>621</c:v>
                </c:pt>
                <c:pt idx="55">
                  <c:v>416</c:v>
                </c:pt>
                <c:pt idx="56">
                  <c:v>286</c:v>
                </c:pt>
                <c:pt idx="57">
                  <c:v>3485</c:v>
                </c:pt>
                <c:pt idx="58">
                  <c:v>1797</c:v>
                </c:pt>
              </c:numCache>
            </c:numRef>
          </c:val>
          <c:smooth val="0"/>
          <c:extLst>
            <c:ext xmlns:c16="http://schemas.microsoft.com/office/drawing/2014/chart" uri="{C3380CC4-5D6E-409C-BE32-E72D297353CC}">
              <c16:uniqueId val="{00000001-7CE7-4BD3-813D-1A4B6134294D}"/>
            </c:ext>
          </c:extLst>
        </c:ser>
        <c:ser>
          <c:idx val="2"/>
          <c:order val="2"/>
          <c:tx>
            <c:strRef>
              <c:f>Sheet2!$I$10</c:f>
              <c:strCache>
                <c:ptCount val="1"/>
                <c:pt idx="0">
                  <c:v>Sales in 2019</c:v>
                </c:pt>
              </c:strCache>
            </c:strRef>
          </c:tx>
          <c:spPr>
            <a:ln w="28575" cap="rnd">
              <a:solidFill>
                <a:schemeClr val="accent3"/>
              </a:solidFill>
              <a:round/>
            </a:ln>
            <a:effectLst/>
          </c:spPr>
          <c:marker>
            <c:symbol val="none"/>
          </c:marker>
          <c:cat>
            <c:strRef>
              <c:f>Sheet2!$F$11:$F$69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Sheet2!$I$11:$I$69</c:f>
              <c:numCache>
                <c:formatCode>General</c:formatCode>
                <c:ptCount val="59"/>
                <c:pt idx="0">
                  <c:v>791</c:v>
                </c:pt>
                <c:pt idx="1">
                  <c:v>991</c:v>
                </c:pt>
                <c:pt idx="2">
                  <c:v>4776</c:v>
                </c:pt>
                <c:pt idx="3">
                  <c:v>5952</c:v>
                </c:pt>
                <c:pt idx="4">
                  <c:v>4259</c:v>
                </c:pt>
                <c:pt idx="5">
                  <c:v>5791</c:v>
                </c:pt>
                <c:pt idx="6">
                  <c:v>3898</c:v>
                </c:pt>
                <c:pt idx="7">
                  <c:v>2797</c:v>
                </c:pt>
                <c:pt idx="8">
                  <c:v>5556</c:v>
                </c:pt>
                <c:pt idx="9">
                  <c:v>5188</c:v>
                </c:pt>
                <c:pt idx="10">
                  <c:v>3311</c:v>
                </c:pt>
                <c:pt idx="11">
                  <c:v>8390</c:v>
                </c:pt>
                <c:pt idx="12">
                  <c:v>5914</c:v>
                </c:pt>
                <c:pt idx="13">
                  <c:v>7534</c:v>
                </c:pt>
                <c:pt idx="14">
                  <c:v>5123</c:v>
                </c:pt>
                <c:pt idx="15">
                  <c:v>7883</c:v>
                </c:pt>
                <c:pt idx="16">
                  <c:v>9479</c:v>
                </c:pt>
                <c:pt idx="17">
                  <c:v>5072</c:v>
                </c:pt>
                <c:pt idx="18">
                  <c:v>3461</c:v>
                </c:pt>
                <c:pt idx="19">
                  <c:v>4121</c:v>
                </c:pt>
                <c:pt idx="20">
                  <c:v>7438</c:v>
                </c:pt>
                <c:pt idx="21">
                  <c:v>4928</c:v>
                </c:pt>
                <c:pt idx="22">
                  <c:v>5190</c:v>
                </c:pt>
                <c:pt idx="23">
                  <c:v>4068</c:v>
                </c:pt>
                <c:pt idx="24">
                  <c:v>3984</c:v>
                </c:pt>
                <c:pt idx="25">
                  <c:v>7777</c:v>
                </c:pt>
                <c:pt idx="26">
                  <c:v>2027</c:v>
                </c:pt>
                <c:pt idx="27">
                  <c:v>2722</c:v>
                </c:pt>
                <c:pt idx="28">
                  <c:v>7063</c:v>
                </c:pt>
                <c:pt idx="29">
                  <c:v>2844</c:v>
                </c:pt>
                <c:pt idx="30">
                  <c:v>6292</c:v>
                </c:pt>
                <c:pt idx="31">
                  <c:v>4466</c:v>
                </c:pt>
                <c:pt idx="32">
                  <c:v>2804</c:v>
                </c:pt>
                <c:pt idx="33">
                  <c:v>6956</c:v>
                </c:pt>
                <c:pt idx="34">
                  <c:v>5407</c:v>
                </c:pt>
                <c:pt idx="35">
                  <c:v>4535</c:v>
                </c:pt>
                <c:pt idx="36">
                  <c:v>4534</c:v>
                </c:pt>
                <c:pt idx="37">
                  <c:v>8042</c:v>
                </c:pt>
                <c:pt idx="38">
                  <c:v>1634</c:v>
                </c:pt>
                <c:pt idx="39">
                  <c:v>6351</c:v>
                </c:pt>
                <c:pt idx="40">
                  <c:v>4123</c:v>
                </c:pt>
                <c:pt idx="41">
                  <c:v>3612</c:v>
                </c:pt>
                <c:pt idx="42">
                  <c:v>3712</c:v>
                </c:pt>
                <c:pt idx="43">
                  <c:v>1810</c:v>
                </c:pt>
                <c:pt idx="44">
                  <c:v>7386</c:v>
                </c:pt>
                <c:pt idx="45">
                  <c:v>6087</c:v>
                </c:pt>
                <c:pt idx="46">
                  <c:v>6247</c:v>
                </c:pt>
                <c:pt idx="47">
                  <c:v>4423</c:v>
                </c:pt>
                <c:pt idx="48">
                  <c:v>7279</c:v>
                </c:pt>
                <c:pt idx="49">
                  <c:v>5775</c:v>
                </c:pt>
                <c:pt idx="50">
                  <c:v>7478</c:v>
                </c:pt>
                <c:pt idx="51">
                  <c:v>4373</c:v>
                </c:pt>
                <c:pt idx="52">
                  <c:v>6238</c:v>
                </c:pt>
                <c:pt idx="53">
                  <c:v>1822</c:v>
                </c:pt>
                <c:pt idx="54">
                  <c:v>3098</c:v>
                </c:pt>
                <c:pt idx="55">
                  <c:v>747</c:v>
                </c:pt>
                <c:pt idx="56">
                  <c:v>6750</c:v>
                </c:pt>
                <c:pt idx="57">
                  <c:v>4592</c:v>
                </c:pt>
                <c:pt idx="58">
                  <c:v>3548</c:v>
                </c:pt>
              </c:numCache>
            </c:numRef>
          </c:val>
          <c:smooth val="0"/>
          <c:extLst>
            <c:ext xmlns:c16="http://schemas.microsoft.com/office/drawing/2014/chart" uri="{C3380CC4-5D6E-409C-BE32-E72D297353CC}">
              <c16:uniqueId val="{00000002-7CE7-4BD3-813D-1A4B6134294D}"/>
            </c:ext>
          </c:extLst>
        </c:ser>
        <c:ser>
          <c:idx val="3"/>
          <c:order val="3"/>
          <c:tx>
            <c:strRef>
              <c:f>Sheet2!$J$10</c:f>
              <c:strCache>
                <c:ptCount val="1"/>
                <c:pt idx="0">
                  <c:v>Sales in 2020</c:v>
                </c:pt>
              </c:strCache>
            </c:strRef>
          </c:tx>
          <c:spPr>
            <a:ln w="28575" cap="rnd">
              <a:solidFill>
                <a:schemeClr val="accent4"/>
              </a:solidFill>
              <a:round/>
            </a:ln>
            <a:effectLst/>
          </c:spPr>
          <c:marker>
            <c:symbol val="none"/>
          </c:marker>
          <c:cat>
            <c:strRef>
              <c:f>Sheet2!$F$11:$F$69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Sheet2!$J$11:$J$69</c:f>
              <c:numCache>
                <c:formatCode>General</c:formatCode>
                <c:ptCount val="59"/>
                <c:pt idx="0">
                  <c:v>338</c:v>
                </c:pt>
                <c:pt idx="1">
                  <c:v>448</c:v>
                </c:pt>
                <c:pt idx="2">
                  <c:v>4024</c:v>
                </c:pt>
                <c:pt idx="3">
                  <c:v>1998</c:v>
                </c:pt>
                <c:pt idx="4">
                  <c:v>4243</c:v>
                </c:pt>
                <c:pt idx="5">
                  <c:v>1759</c:v>
                </c:pt>
                <c:pt idx="6">
                  <c:v>1857</c:v>
                </c:pt>
                <c:pt idx="7">
                  <c:v>2245</c:v>
                </c:pt>
                <c:pt idx="8">
                  <c:v>5202</c:v>
                </c:pt>
                <c:pt idx="9">
                  <c:v>3436</c:v>
                </c:pt>
                <c:pt idx="10">
                  <c:v>3254</c:v>
                </c:pt>
                <c:pt idx="11">
                  <c:v>8256</c:v>
                </c:pt>
                <c:pt idx="12">
                  <c:v>5405</c:v>
                </c:pt>
                <c:pt idx="13">
                  <c:v>5080</c:v>
                </c:pt>
                <c:pt idx="14">
                  <c:v>4968</c:v>
                </c:pt>
                <c:pt idx="15">
                  <c:v>7499</c:v>
                </c:pt>
                <c:pt idx="16">
                  <c:v>13523</c:v>
                </c:pt>
                <c:pt idx="17">
                  <c:v>5201</c:v>
                </c:pt>
                <c:pt idx="18">
                  <c:v>3850</c:v>
                </c:pt>
                <c:pt idx="19">
                  <c:v>6210</c:v>
                </c:pt>
                <c:pt idx="20">
                  <c:v>7443</c:v>
                </c:pt>
                <c:pt idx="21">
                  <c:v>8451</c:v>
                </c:pt>
                <c:pt idx="22">
                  <c:v>8203</c:v>
                </c:pt>
                <c:pt idx="23">
                  <c:v>4278</c:v>
                </c:pt>
                <c:pt idx="24">
                  <c:v>8803</c:v>
                </c:pt>
                <c:pt idx="25">
                  <c:v>7891</c:v>
                </c:pt>
                <c:pt idx="26">
                  <c:v>4881</c:v>
                </c:pt>
                <c:pt idx="27">
                  <c:v>4410</c:v>
                </c:pt>
                <c:pt idx="28">
                  <c:v>7208</c:v>
                </c:pt>
                <c:pt idx="29">
                  <c:v>6877</c:v>
                </c:pt>
                <c:pt idx="30">
                  <c:v>6728</c:v>
                </c:pt>
                <c:pt idx="31">
                  <c:v>5568</c:v>
                </c:pt>
                <c:pt idx="32">
                  <c:v>5718</c:v>
                </c:pt>
                <c:pt idx="33">
                  <c:v>7929</c:v>
                </c:pt>
                <c:pt idx="34">
                  <c:v>6233</c:v>
                </c:pt>
                <c:pt idx="35">
                  <c:v>5476</c:v>
                </c:pt>
                <c:pt idx="36">
                  <c:v>6796</c:v>
                </c:pt>
                <c:pt idx="37">
                  <c:v>8222</c:v>
                </c:pt>
                <c:pt idx="38">
                  <c:v>4302</c:v>
                </c:pt>
                <c:pt idx="39">
                  <c:v>8550</c:v>
                </c:pt>
                <c:pt idx="40">
                  <c:v>4366</c:v>
                </c:pt>
                <c:pt idx="41">
                  <c:v>5066</c:v>
                </c:pt>
                <c:pt idx="42">
                  <c:v>5819</c:v>
                </c:pt>
                <c:pt idx="43">
                  <c:v>6510</c:v>
                </c:pt>
                <c:pt idx="44">
                  <c:v>8835</c:v>
                </c:pt>
                <c:pt idx="45">
                  <c:v>7494</c:v>
                </c:pt>
                <c:pt idx="46">
                  <c:v>8495</c:v>
                </c:pt>
                <c:pt idx="47">
                  <c:v>8733</c:v>
                </c:pt>
                <c:pt idx="48">
                  <c:v>8443</c:v>
                </c:pt>
                <c:pt idx="49">
                  <c:v>7661</c:v>
                </c:pt>
                <c:pt idx="50">
                  <c:v>8039</c:v>
                </c:pt>
                <c:pt idx="51">
                  <c:v>6803</c:v>
                </c:pt>
                <c:pt idx="52">
                  <c:v>8922</c:v>
                </c:pt>
                <c:pt idx="53">
                  <c:v>7074</c:v>
                </c:pt>
                <c:pt idx="54">
                  <c:v>7118</c:v>
                </c:pt>
                <c:pt idx="55">
                  <c:v>1028</c:v>
                </c:pt>
                <c:pt idx="56">
                  <c:v>8254</c:v>
                </c:pt>
                <c:pt idx="57">
                  <c:v>5143</c:v>
                </c:pt>
                <c:pt idx="58">
                  <c:v>3668</c:v>
                </c:pt>
              </c:numCache>
            </c:numRef>
          </c:val>
          <c:smooth val="0"/>
          <c:extLst>
            <c:ext xmlns:c16="http://schemas.microsoft.com/office/drawing/2014/chart" uri="{C3380CC4-5D6E-409C-BE32-E72D297353CC}">
              <c16:uniqueId val="{00000003-7CE7-4BD3-813D-1A4B6134294D}"/>
            </c:ext>
          </c:extLst>
        </c:ser>
        <c:ser>
          <c:idx val="4"/>
          <c:order val="4"/>
          <c:tx>
            <c:strRef>
              <c:f>Sheet2!$K$10</c:f>
              <c:strCache>
                <c:ptCount val="1"/>
                <c:pt idx="0">
                  <c:v>Sales in 2021</c:v>
                </c:pt>
              </c:strCache>
            </c:strRef>
          </c:tx>
          <c:spPr>
            <a:ln w="28575" cap="rnd">
              <a:solidFill>
                <a:srgbClr val="FF0000"/>
              </a:solidFill>
              <a:round/>
            </a:ln>
            <a:effectLst/>
          </c:spPr>
          <c:marker>
            <c:symbol val="none"/>
          </c:marker>
          <c:cat>
            <c:strRef>
              <c:f>Sheet2!$F$11:$F$69</c:f>
              <c:strCache>
                <c:ptCount val="59"/>
                <c:pt idx="0">
                  <c:v>-73%</c:v>
                </c:pt>
                <c:pt idx="1">
                  <c:v>-61%</c:v>
                </c:pt>
                <c:pt idx="2">
                  <c:v>-55%</c:v>
                </c:pt>
                <c:pt idx="3">
                  <c:v>-54%</c:v>
                </c:pt>
                <c:pt idx="4">
                  <c:v>-42%</c:v>
                </c:pt>
                <c:pt idx="5">
                  <c:v>-37%</c:v>
                </c:pt>
                <c:pt idx="6">
                  <c:v>-33%</c:v>
                </c:pt>
                <c:pt idx="7">
                  <c:v>-33%</c:v>
                </c:pt>
                <c:pt idx="8">
                  <c:v>-30%</c:v>
                </c:pt>
                <c:pt idx="9">
                  <c:v>-25%</c:v>
                </c:pt>
                <c:pt idx="10">
                  <c:v>-24%</c:v>
                </c:pt>
                <c:pt idx="11">
                  <c:v>-21%</c:v>
                </c:pt>
                <c:pt idx="12">
                  <c:v>-18%</c:v>
                </c:pt>
                <c:pt idx="13">
                  <c:v>-16%</c:v>
                </c:pt>
                <c:pt idx="14">
                  <c:v>-12%</c:v>
                </c:pt>
                <c:pt idx="15">
                  <c:v>-7%</c:v>
                </c:pt>
                <c:pt idx="16">
                  <c:v>0%</c:v>
                </c:pt>
                <c:pt idx="17">
                  <c:v>18%</c:v>
                </c:pt>
                <c:pt idx="18">
                  <c:v>18%</c:v>
                </c:pt>
                <c:pt idx="19">
                  <c:v>25%</c:v>
                </c:pt>
                <c:pt idx="20">
                  <c:v>27%</c:v>
                </c:pt>
                <c:pt idx="21">
                  <c:v>31%</c:v>
                </c:pt>
                <c:pt idx="22">
                  <c:v>37%</c:v>
                </c:pt>
                <c:pt idx="23">
                  <c:v>37%</c:v>
                </c:pt>
                <c:pt idx="24">
                  <c:v>38%</c:v>
                </c:pt>
                <c:pt idx="25">
                  <c:v>39%</c:v>
                </c:pt>
                <c:pt idx="26">
                  <c:v>41%</c:v>
                </c:pt>
                <c:pt idx="27">
                  <c:v>43%</c:v>
                </c:pt>
                <c:pt idx="28">
                  <c:v>46%</c:v>
                </c:pt>
                <c:pt idx="29">
                  <c:v>52%</c:v>
                </c:pt>
                <c:pt idx="30">
                  <c:v>58%</c:v>
                </c:pt>
                <c:pt idx="31">
                  <c:v>58%</c:v>
                </c:pt>
                <c:pt idx="32">
                  <c:v>60%</c:v>
                </c:pt>
                <c:pt idx="33">
                  <c:v>62%</c:v>
                </c:pt>
                <c:pt idx="34">
                  <c:v>63%</c:v>
                </c:pt>
                <c:pt idx="35">
                  <c:v>64%</c:v>
                </c:pt>
                <c:pt idx="36">
                  <c:v>66%</c:v>
                </c:pt>
                <c:pt idx="37">
                  <c:v>66%</c:v>
                </c:pt>
                <c:pt idx="38">
                  <c:v>69%</c:v>
                </c:pt>
                <c:pt idx="39">
                  <c:v>71%</c:v>
                </c:pt>
                <c:pt idx="40">
                  <c:v>72%</c:v>
                </c:pt>
                <c:pt idx="41">
                  <c:v>73%</c:v>
                </c:pt>
                <c:pt idx="42">
                  <c:v>74%</c:v>
                </c:pt>
                <c:pt idx="43">
                  <c:v>81%</c:v>
                </c:pt>
                <c:pt idx="44">
                  <c:v>83%</c:v>
                </c:pt>
                <c:pt idx="45">
                  <c:v>86%</c:v>
                </c:pt>
                <c:pt idx="46">
                  <c:v>91%</c:v>
                </c:pt>
                <c:pt idx="47">
                  <c:v>91%</c:v>
                </c:pt>
                <c:pt idx="48">
                  <c:v>102%</c:v>
                </c:pt>
                <c:pt idx="49">
                  <c:v>108%</c:v>
                </c:pt>
                <c:pt idx="50">
                  <c:v>109%</c:v>
                </c:pt>
                <c:pt idx="51">
                  <c:v>112%</c:v>
                </c:pt>
                <c:pt idx="52">
                  <c:v>135%</c:v>
                </c:pt>
                <c:pt idx="53">
                  <c:v>142%</c:v>
                </c:pt>
                <c:pt idx="54">
                  <c:v>152%</c:v>
                </c:pt>
                <c:pt idx="55">
                  <c:v>165%</c:v>
                </c:pt>
                <c:pt idx="56">
                  <c:v>181%</c:v>
                </c:pt>
                <c:pt idx="57">
                  <c:v>225%</c:v>
                </c:pt>
                <c:pt idx="58">
                  <c:v>335%</c:v>
                </c:pt>
              </c:strCache>
            </c:strRef>
          </c:cat>
          <c:val>
            <c:numRef>
              <c:f>Sheet2!$K$11:$K$69</c:f>
              <c:numCache>
                <c:formatCode>General</c:formatCode>
                <c:ptCount val="59"/>
                <c:pt idx="0">
                  <c:v>44</c:v>
                </c:pt>
                <c:pt idx="1">
                  <c:v>211</c:v>
                </c:pt>
                <c:pt idx="2">
                  <c:v>369</c:v>
                </c:pt>
                <c:pt idx="3">
                  <c:v>375</c:v>
                </c:pt>
                <c:pt idx="4">
                  <c:v>907</c:v>
                </c:pt>
                <c:pt idx="5">
                  <c:v>969</c:v>
                </c:pt>
                <c:pt idx="6">
                  <c:v>1512</c:v>
                </c:pt>
                <c:pt idx="7">
                  <c:v>1696</c:v>
                </c:pt>
                <c:pt idx="8">
                  <c:v>2373</c:v>
                </c:pt>
                <c:pt idx="9">
                  <c:v>2359</c:v>
                </c:pt>
                <c:pt idx="10">
                  <c:v>2687</c:v>
                </c:pt>
                <c:pt idx="11">
                  <c:v>3815</c:v>
                </c:pt>
                <c:pt idx="12">
                  <c:v>4031</c:v>
                </c:pt>
                <c:pt idx="13">
                  <c:v>4936</c:v>
                </c:pt>
                <c:pt idx="14">
                  <c:v>3857</c:v>
                </c:pt>
                <c:pt idx="15">
                  <c:v>6592</c:v>
                </c:pt>
                <c:pt idx="16">
                  <c:v>19187</c:v>
                </c:pt>
                <c:pt idx="17">
                  <c:v>7588</c:v>
                </c:pt>
                <c:pt idx="18">
                  <c:v>4657</c:v>
                </c:pt>
                <c:pt idx="19">
                  <c:v>6909</c:v>
                </c:pt>
                <c:pt idx="20">
                  <c:v>9225</c:v>
                </c:pt>
                <c:pt idx="21">
                  <c:v>9585</c:v>
                </c:pt>
                <c:pt idx="22">
                  <c:v>8780</c:v>
                </c:pt>
                <c:pt idx="23">
                  <c:v>5382</c:v>
                </c:pt>
                <c:pt idx="24">
                  <c:v>9338</c:v>
                </c:pt>
                <c:pt idx="25">
                  <c:v>8758</c:v>
                </c:pt>
                <c:pt idx="26">
                  <c:v>6002</c:v>
                </c:pt>
                <c:pt idx="27">
                  <c:v>5873</c:v>
                </c:pt>
                <c:pt idx="28">
                  <c:v>9093</c:v>
                </c:pt>
                <c:pt idx="29">
                  <c:v>9570</c:v>
                </c:pt>
                <c:pt idx="30">
                  <c:v>8202</c:v>
                </c:pt>
                <c:pt idx="31">
                  <c:v>6476</c:v>
                </c:pt>
                <c:pt idx="32">
                  <c:v>9822</c:v>
                </c:pt>
                <c:pt idx="33">
                  <c:v>8834</c:v>
                </c:pt>
                <c:pt idx="34">
                  <c:v>9681</c:v>
                </c:pt>
                <c:pt idx="35">
                  <c:v>9983</c:v>
                </c:pt>
                <c:pt idx="36">
                  <c:v>7730</c:v>
                </c:pt>
                <c:pt idx="37">
                  <c:v>9686</c:v>
                </c:pt>
                <c:pt idx="38">
                  <c:v>9768</c:v>
                </c:pt>
                <c:pt idx="39">
                  <c:v>9272</c:v>
                </c:pt>
                <c:pt idx="40">
                  <c:v>9482</c:v>
                </c:pt>
                <c:pt idx="41">
                  <c:v>5156</c:v>
                </c:pt>
                <c:pt idx="42">
                  <c:v>9589</c:v>
                </c:pt>
                <c:pt idx="43">
                  <c:v>9271</c:v>
                </c:pt>
                <c:pt idx="44">
                  <c:v>9766</c:v>
                </c:pt>
                <c:pt idx="45">
                  <c:v>8599</c:v>
                </c:pt>
                <c:pt idx="46">
                  <c:v>9236</c:v>
                </c:pt>
                <c:pt idx="47">
                  <c:v>9909</c:v>
                </c:pt>
                <c:pt idx="48">
                  <c:v>9571</c:v>
                </c:pt>
                <c:pt idx="49">
                  <c:v>9206</c:v>
                </c:pt>
                <c:pt idx="50">
                  <c:v>8271</c:v>
                </c:pt>
                <c:pt idx="51">
                  <c:v>7578</c:v>
                </c:pt>
                <c:pt idx="52">
                  <c:v>9081</c:v>
                </c:pt>
                <c:pt idx="53">
                  <c:v>8207</c:v>
                </c:pt>
                <c:pt idx="54">
                  <c:v>8433</c:v>
                </c:pt>
                <c:pt idx="55">
                  <c:v>6357</c:v>
                </c:pt>
                <c:pt idx="56">
                  <c:v>8656</c:v>
                </c:pt>
                <c:pt idx="57">
                  <c:v>8100</c:v>
                </c:pt>
                <c:pt idx="58">
                  <c:v>8592</c:v>
                </c:pt>
              </c:numCache>
            </c:numRef>
          </c:val>
          <c:smooth val="0"/>
          <c:extLst>
            <c:ext xmlns:c16="http://schemas.microsoft.com/office/drawing/2014/chart" uri="{C3380CC4-5D6E-409C-BE32-E72D297353CC}">
              <c16:uniqueId val="{00000004-7CE7-4BD3-813D-1A4B6134294D}"/>
            </c:ext>
          </c:extLst>
        </c:ser>
        <c:dLbls>
          <c:showLegendKey val="0"/>
          <c:showVal val="0"/>
          <c:showCatName val="0"/>
          <c:showSerName val="0"/>
          <c:showPercent val="0"/>
          <c:showBubbleSize val="0"/>
        </c:dLbls>
        <c:smooth val="0"/>
        <c:axId val="2086857615"/>
        <c:axId val="2086856783"/>
      </c:lineChart>
      <c:catAx>
        <c:axId val="2086857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6856783"/>
        <c:crosses val="autoZero"/>
        <c:auto val="1"/>
        <c:lblAlgn val="ctr"/>
        <c:lblOffset val="100"/>
        <c:noMultiLvlLbl val="0"/>
      </c:catAx>
      <c:valAx>
        <c:axId val="2086856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6857615"/>
        <c:crosses val="autoZero"/>
        <c:crossBetween val="between"/>
      </c:valAx>
      <c:spPr>
        <a:noFill/>
        <a:ln>
          <a:noFill/>
        </a:ln>
        <a:effectLst/>
      </c:spPr>
    </c:plotArea>
    <c:legend>
      <c:legendPos val="b"/>
      <c:layout>
        <c:manualLayout>
          <c:xMode val="edge"/>
          <c:yMode val="edge"/>
          <c:x val="1.2962962962962966E-2"/>
          <c:y val="0.89803842228054831"/>
          <c:w val="0.96250000000000002"/>
          <c:h val="7.4183799941673956E-2"/>
        </c:manualLayout>
      </c:layout>
      <c:overlay val="0"/>
      <c:spPr>
        <a:solidFill>
          <a:sysClr val="window" lastClr="FFFFFF"/>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tint val="60000"/>
            <a:lumMod val="110000"/>
          </a:schemeClr>
        </a:gs>
        <a:gs pos="100000">
          <a:schemeClr val="accent3">
            <a:tint val="82000"/>
          </a:schemeClr>
        </a:gs>
      </a:gsLst>
      <a:lin ang="5400000" scaled="0"/>
    </a:gradFill>
    <a:ln w="9525"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Analysis.xlsm]Sheet2!PivotTable2</c:name>
    <c:fmtId val="7"/>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Top 10 sales by 5 year CAGR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Sheet2!$C$26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Sheet2!$B$27:$B$36</c:f>
              <c:strCache>
                <c:ptCount val="10"/>
                <c:pt idx="0">
                  <c:v>MB 12</c:v>
                </c:pt>
                <c:pt idx="1">
                  <c:v>MB 5</c:v>
                </c:pt>
                <c:pt idx="2">
                  <c:v>MB 6</c:v>
                </c:pt>
                <c:pt idx="3">
                  <c:v>OR 10</c:v>
                </c:pt>
                <c:pt idx="4">
                  <c:v>OR 15</c:v>
                </c:pt>
                <c:pt idx="5">
                  <c:v>OR 2</c:v>
                </c:pt>
                <c:pt idx="6">
                  <c:v>OR 9</c:v>
                </c:pt>
                <c:pt idx="7">
                  <c:v>SB 13</c:v>
                </c:pt>
                <c:pt idx="8">
                  <c:v>WD 11</c:v>
                </c:pt>
                <c:pt idx="9">
                  <c:v>WD 2</c:v>
                </c:pt>
              </c:strCache>
            </c:strRef>
          </c:cat>
          <c:val>
            <c:numRef>
              <c:f>Sheet2!$C$27:$C$36</c:f>
              <c:numCache>
                <c:formatCode>0.00%</c:formatCode>
                <c:ptCount val="10"/>
                <c:pt idx="0">
                  <c:v>1.5203389637502625</c:v>
                </c:pt>
                <c:pt idx="1">
                  <c:v>2.2455667067018901</c:v>
                </c:pt>
                <c:pt idx="2">
                  <c:v>1.4232703532020747</c:v>
                </c:pt>
                <c:pt idx="3">
                  <c:v>1.1188084145320056</c:v>
                </c:pt>
                <c:pt idx="4">
                  <c:v>1.0930046233022455</c:v>
                </c:pt>
                <c:pt idx="5">
                  <c:v>1.8142296888697582</c:v>
                </c:pt>
                <c:pt idx="6">
                  <c:v>1.084072328017021</c:v>
                </c:pt>
                <c:pt idx="7">
                  <c:v>3.3498147004699526</c:v>
                </c:pt>
                <c:pt idx="8">
                  <c:v>1.6546701130112136</c:v>
                </c:pt>
                <c:pt idx="9">
                  <c:v>1.3475541667800686</c:v>
                </c:pt>
              </c:numCache>
            </c:numRef>
          </c:val>
          <c:extLst>
            <c:ext xmlns:c16="http://schemas.microsoft.com/office/drawing/2014/chart" uri="{C3380CC4-5D6E-409C-BE32-E72D297353CC}">
              <c16:uniqueId val="{00000000-8F88-44EE-B151-4F2B5E2EB120}"/>
            </c:ext>
          </c:extLst>
        </c:ser>
        <c:dLbls>
          <c:dLblPos val="outEnd"/>
          <c:showLegendKey val="0"/>
          <c:showVal val="1"/>
          <c:showCatName val="0"/>
          <c:showSerName val="0"/>
          <c:showPercent val="0"/>
          <c:showBubbleSize val="0"/>
        </c:dLbls>
        <c:gapWidth val="219"/>
        <c:axId val="1665018735"/>
        <c:axId val="1665026639"/>
      </c:barChart>
      <c:catAx>
        <c:axId val="1665018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65026639"/>
        <c:crosses val="autoZero"/>
        <c:auto val="1"/>
        <c:lblAlgn val="ctr"/>
        <c:lblOffset val="100"/>
        <c:noMultiLvlLbl val="0"/>
      </c:catAx>
      <c:valAx>
        <c:axId val="1665026639"/>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665018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tint val="60000"/>
            <a:lumMod val="110000"/>
          </a:schemeClr>
        </a:gs>
        <a:gs pos="100000">
          <a:schemeClr val="accent3">
            <a:tint val="82000"/>
          </a:schemeClr>
        </a:gs>
      </a:gsLst>
      <a:lin ang="5400000" scaled="0"/>
    </a:gradFill>
    <a:ln w="9525"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[Account Sales Data for Analysis.xlsm]Sheet2!PivotTable41</c:name>
    <c:fmtId val="7"/>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t>Citywise CAGR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Sheet2!$C$38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520-4D44-8BEF-7384B8E37F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520-4D44-8BEF-7384B8E37F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520-4D44-8BEF-7384B8E37F3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520-4D44-8BEF-7384B8E37F3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520-4D44-8BEF-7384B8E37F38}"/>
              </c:ext>
            </c:extLst>
          </c:dPt>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Sheet2!$B$39:$B$43</c:f>
              <c:strCache>
                <c:ptCount val="5"/>
                <c:pt idx="0">
                  <c:v>Bronx</c:v>
                </c:pt>
                <c:pt idx="1">
                  <c:v>Brooklyn</c:v>
                </c:pt>
                <c:pt idx="2">
                  <c:v>New York</c:v>
                </c:pt>
                <c:pt idx="3">
                  <c:v>Staten Island</c:v>
                </c:pt>
                <c:pt idx="4">
                  <c:v>Yonkers</c:v>
                </c:pt>
              </c:strCache>
            </c:strRef>
          </c:cat>
          <c:val>
            <c:numRef>
              <c:f>Sheet2!$C$39:$C$43</c:f>
              <c:numCache>
                <c:formatCode>0.00%</c:formatCode>
                <c:ptCount val="5"/>
                <c:pt idx="0">
                  <c:v>0.89216044791710369</c:v>
                </c:pt>
                <c:pt idx="1">
                  <c:v>0.33005810730030805</c:v>
                </c:pt>
                <c:pt idx="2">
                  <c:v>0.37096312862519232</c:v>
                </c:pt>
                <c:pt idx="3">
                  <c:v>0.39452500346994762</c:v>
                </c:pt>
                <c:pt idx="4">
                  <c:v>1.8142296888697582</c:v>
                </c:pt>
              </c:numCache>
            </c:numRef>
          </c:val>
          <c:extLst>
            <c:ext xmlns:c16="http://schemas.microsoft.com/office/drawing/2014/chart" uri="{C3380CC4-5D6E-409C-BE32-E72D297353CC}">
              <c16:uniqueId val="{0000000A-A520-4D44-8BEF-7384B8E37F38}"/>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3">
            <a:tint val="60000"/>
            <a:lumMod val="110000"/>
          </a:schemeClr>
        </a:gs>
        <a:gs pos="100000">
          <a:schemeClr val="accent3">
            <a:tint val="82000"/>
          </a:schemeClr>
        </a:gs>
      </a:gsLst>
      <a:lin ang="5400000" scaled="0"/>
    </a:gradFill>
    <a:ln w="9525" cap="flat" cmpd="sng" algn="ctr">
      <a:solidFill>
        <a:schemeClr val="accent3"/>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Sheet2!$C$45</c:f>
              <c:strCache>
                <c:ptCount val="1"/>
                <c:pt idx="0">
                  <c:v>Total Sales in 5 years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Sheet2!$B$46:$B$49</c:f>
              <c:strCache>
                <c:ptCount val="4"/>
                <c:pt idx="0">
                  <c:v>Medium Business</c:v>
                </c:pt>
                <c:pt idx="1">
                  <c:v>Online Retailer</c:v>
                </c:pt>
                <c:pt idx="2">
                  <c:v>Small Business</c:v>
                </c:pt>
                <c:pt idx="3">
                  <c:v>Wholesale Distributor</c:v>
                </c:pt>
              </c:strCache>
            </c:strRef>
          </c:cat>
          <c:val>
            <c:numRef>
              <c:f>Sheet2!$C$46:$C$49</c:f>
              <c:numCache>
                <c:formatCode>General</c:formatCode>
                <c:ptCount val="4"/>
                <c:pt idx="0">
                  <c:v>380568</c:v>
                </c:pt>
                <c:pt idx="1">
                  <c:v>408515</c:v>
                </c:pt>
                <c:pt idx="2">
                  <c:v>342823</c:v>
                </c:pt>
                <c:pt idx="3">
                  <c:v>348942</c:v>
                </c:pt>
              </c:numCache>
            </c:numRef>
          </c:val>
          <c:extLst>
            <c:ext xmlns:c16="http://schemas.microsoft.com/office/drawing/2014/chart" uri="{C3380CC4-5D6E-409C-BE32-E72D297353CC}">
              <c16:uniqueId val="{00000000-EFDF-468D-BE1C-FD8608909632}"/>
            </c:ext>
          </c:extLst>
        </c:ser>
        <c:dLbls>
          <c:dLblPos val="outEnd"/>
          <c:showLegendKey val="0"/>
          <c:showVal val="1"/>
          <c:showCatName val="0"/>
          <c:showSerName val="0"/>
          <c:showPercent val="0"/>
          <c:showBubbleSize val="0"/>
        </c:dLbls>
        <c:gapWidth val="219"/>
        <c:axId val="2088119535"/>
        <c:axId val="2088101231"/>
      </c:barChart>
      <c:catAx>
        <c:axId val="208811953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 Account</a:t>
                </a:r>
                <a:r>
                  <a:rPr lang="en-US" baseline="0"/>
                  <a:t> Type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101231"/>
        <c:crosses val="autoZero"/>
        <c:auto val="1"/>
        <c:lblAlgn val="ctr"/>
        <c:lblOffset val="100"/>
        <c:noMultiLvlLbl val="0"/>
      </c:catAx>
      <c:valAx>
        <c:axId val="208810123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r>
                  <a:rPr lang="en-US"/>
                  <a:t>Sales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2088119535"/>
        <c:crosses val="autoZero"/>
        <c:crossBetween val="between"/>
      </c:valAx>
      <c:spPr>
        <a:noFill/>
        <a:ln>
          <a:noFill/>
        </a:ln>
        <a:effectLst/>
      </c:spPr>
    </c:plotArea>
    <c:plotVisOnly val="1"/>
    <c:dispBlanksAs val="gap"/>
    <c:showDLblsOverMax val="0"/>
  </c:chart>
  <c:spPr>
    <a:gradFill rotWithShape="1">
      <a:gsLst>
        <a:gs pos="0">
          <a:schemeClr val="accent2">
            <a:tint val="60000"/>
            <a:lumMod val="110000"/>
          </a:schemeClr>
        </a:gs>
        <a:gs pos="100000">
          <a:schemeClr val="accent2">
            <a:tint val="82000"/>
          </a:schemeClr>
        </a:gs>
      </a:gsLst>
      <a:lin ang="5400000" scaled="0"/>
    </a:gradFill>
    <a:ln w="9525" cap="flat" cmpd="sng" algn="ctr">
      <a:solidFill>
        <a:schemeClr val="accent2"/>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lotArea>
      <c:layout/>
      <c:doughnutChart>
        <c:varyColors val="1"/>
        <c:ser>
          <c:idx val="0"/>
          <c:order val="0"/>
          <c:tx>
            <c:strRef>
              <c:f>Sheet2!$C$55</c:f>
              <c:strCache>
                <c:ptCount val="1"/>
                <c:pt idx="0">
                  <c:v>Average Sales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50-4842-9D51-6BF09EDC09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50-4842-9D51-6BF09EDC09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50-4842-9D51-6BF09EDC098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50-4842-9D51-6BF09EDC098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50-4842-9D51-6BF09EDC0988}"/>
              </c:ext>
            </c:extLst>
          </c:dPt>
          <c:dLbls>
            <c:dLbl>
              <c:idx val="0"/>
              <c:layout>
                <c:manualLayout>
                  <c:x val="-2.7923211169284468E-2"/>
                  <c:y val="-1.85185185185185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F50-4842-9D51-6BF09EDC0988}"/>
                </c:ext>
              </c:extLst>
            </c:dLbl>
            <c:dLbl>
              <c:idx val="3"/>
              <c:layout>
                <c:manualLayout>
                  <c:x val="-0.20593368237347295"/>
                  <c:y val="-8.3333333333333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F50-4842-9D51-6BF09EDC0988}"/>
                </c:ext>
              </c:extLst>
            </c:dLbl>
            <c:dLbl>
              <c:idx val="4"/>
              <c:layout>
                <c:manualLayout>
                  <c:x val="-3.8394415357766144E-2"/>
                  <c:y val="-0.138888888888888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F50-4842-9D51-6BF09EDC098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Sheet2!$B$56:$B$60</c:f>
              <c:strCache>
                <c:ptCount val="5"/>
                <c:pt idx="0">
                  <c:v>Bronx</c:v>
                </c:pt>
                <c:pt idx="1">
                  <c:v>Brooklyn</c:v>
                </c:pt>
                <c:pt idx="2">
                  <c:v>New York</c:v>
                </c:pt>
                <c:pt idx="3">
                  <c:v>Staten Island</c:v>
                </c:pt>
                <c:pt idx="4">
                  <c:v>Yonkers</c:v>
                </c:pt>
              </c:strCache>
            </c:strRef>
          </c:cat>
          <c:val>
            <c:numRef>
              <c:f>Sheet2!$C$56:$C$60</c:f>
              <c:numCache>
                <c:formatCode>General</c:formatCode>
                <c:ptCount val="5"/>
                <c:pt idx="0">
                  <c:v>66693.600000000006</c:v>
                </c:pt>
                <c:pt idx="1">
                  <c:v>101055.2</c:v>
                </c:pt>
                <c:pt idx="2">
                  <c:v>109574.39999999999</c:v>
                </c:pt>
                <c:pt idx="3">
                  <c:v>14029.6</c:v>
                </c:pt>
                <c:pt idx="4">
                  <c:v>4816.8</c:v>
                </c:pt>
              </c:numCache>
            </c:numRef>
          </c:val>
          <c:extLst>
            <c:ext xmlns:c16="http://schemas.microsoft.com/office/drawing/2014/chart" uri="{C3380CC4-5D6E-409C-BE32-E72D297353CC}">
              <c16:uniqueId val="{0000000A-6F50-4842-9D51-6BF09EDC0988}"/>
            </c:ext>
          </c:extLst>
        </c:ser>
        <c:dLbls>
          <c:showLegendKey val="0"/>
          <c:showVal val="0"/>
          <c:showCatName val="0"/>
          <c:showSerName val="0"/>
          <c:showPercent val="0"/>
          <c:showBubbleSize val="0"/>
          <c:showLeaderLines val="0"/>
        </c:dLbls>
        <c:firstSliceAng val="0"/>
        <c:holeSize val="4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2">
            <a:tint val="60000"/>
            <a:lumMod val="110000"/>
          </a:schemeClr>
        </a:gs>
        <a:gs pos="100000">
          <a:schemeClr val="accent2">
            <a:tint val="82000"/>
          </a:schemeClr>
        </a:gs>
      </a:gsLst>
      <a:lin ang="5400000" scaled="0"/>
    </a:gradFill>
    <a:ln w="9525" cap="flat" cmpd="sng" algn="ctr">
      <a:solidFill>
        <a:schemeClr val="accent2"/>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6899F6C3-F004-479B-8C66-A29F6DE13CE3}">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Garamond" panose="02020404030301010803"/>
            </a:endParaRPr>
          </a:p>
        </cx:txPr>
      </cx:axis>
    </cx:plotArea>
  </cx:chart>
  <cx:spPr>
    <a:gradFill rotWithShape="1">
      <a:gsLst>
        <a:gs pos="0">
          <a:schemeClr val="accent2">
            <a:tint val="60000"/>
            <a:lumMod val="110000"/>
          </a:schemeClr>
        </a:gs>
        <a:gs pos="100000">
          <a:schemeClr val="accent2">
            <a:tint val="82000"/>
          </a:schemeClr>
        </a:gs>
      </a:gsLst>
      <a:lin ang="5400000" scaled="0"/>
    </a:gradFill>
    <a:ln w="9525" cap="flat" cmpd="sng" algn="ctr">
      <a:solidFill>
        <a:schemeClr val="accent2"/>
      </a:solidFill>
      <a:prstDash val="solid"/>
    </a:ln>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0.xml"/><Relationship Id="rId5" Type="http://schemas.openxmlformats.org/officeDocument/2006/relationships/chart" Target="../charts/chart5.xml"/><Relationship Id="rId10" Type="http://schemas.microsoft.com/office/2014/relationships/chartEx" Target="../charts/chartEx1.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466725</xdr:colOff>
          <xdr:row>0</xdr:row>
          <xdr:rowOff>9525</xdr:rowOff>
        </xdr:from>
        <xdr:to>
          <xdr:col>8</xdr:col>
          <xdr:colOff>0</xdr:colOff>
          <xdr:row>1</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Garamond"/>
                </a:rPr>
                <a:t>Sort 2021 in descending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0</xdr:row>
          <xdr:rowOff>38100</xdr:rowOff>
        </xdr:from>
        <xdr:to>
          <xdr:col>5</xdr:col>
          <xdr:colOff>9525</xdr:colOff>
          <xdr:row>1</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Garamond"/>
                </a:rPr>
                <a:t>Sort CAGR in descending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4</xdr:row>
      <xdr:rowOff>47625</xdr:rowOff>
    </xdr:from>
    <xdr:to>
      <xdr:col>3</xdr:col>
      <xdr:colOff>1072515</xdr:colOff>
      <xdr:row>16</xdr:row>
      <xdr:rowOff>9525</xdr:rowOff>
    </xdr:to>
    <xdr:graphicFrame macro="">
      <xdr:nvGraphicFramePr>
        <xdr:cNvPr id="2" name="Chart 1">
          <a:extLst>
            <a:ext uri="{FF2B5EF4-FFF2-40B4-BE49-F238E27FC236}">
              <a16:creationId xmlns:a16="http://schemas.microsoft.com/office/drawing/2014/main" id="{2E759028-92C1-4472-8BB4-8CE72B76C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1215627</xdr:colOff>
      <xdr:row>4</xdr:row>
      <xdr:rowOff>71435</xdr:rowOff>
    </xdr:from>
    <xdr:to>
      <xdr:col>7</xdr:col>
      <xdr:colOff>167877</xdr:colOff>
      <xdr:row>19</xdr:row>
      <xdr:rowOff>185735</xdr:rowOff>
    </xdr:to>
    <xdr:graphicFrame macro="">
      <xdr:nvGraphicFramePr>
        <xdr:cNvPr id="13" name="Chart 12">
          <a:extLst>
            <a:ext uri="{FF2B5EF4-FFF2-40B4-BE49-F238E27FC236}">
              <a16:creationId xmlns:a16="http://schemas.microsoft.com/office/drawing/2014/main" id="{2F583C46-6FD1-41B2-B0F3-5387888746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256380</xdr:colOff>
      <xdr:row>4</xdr:row>
      <xdr:rowOff>71437</xdr:rowOff>
    </xdr:from>
    <xdr:to>
      <xdr:col>11</xdr:col>
      <xdr:colOff>103980</xdr:colOff>
      <xdr:row>19</xdr:row>
      <xdr:rowOff>185737</xdr:rowOff>
    </xdr:to>
    <xdr:graphicFrame macro="">
      <xdr:nvGraphicFramePr>
        <xdr:cNvPr id="14" name="Chart 13">
          <a:extLst>
            <a:ext uri="{FF2B5EF4-FFF2-40B4-BE49-F238E27FC236}">
              <a16:creationId xmlns:a16="http://schemas.microsoft.com/office/drawing/2014/main" id="{435A9030-3C6A-4A72-A3A3-BF15F745A9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182958</xdr:colOff>
      <xdr:row>4</xdr:row>
      <xdr:rowOff>52387</xdr:rowOff>
    </xdr:from>
    <xdr:to>
      <xdr:col>15</xdr:col>
      <xdr:colOff>30558</xdr:colOff>
      <xdr:row>19</xdr:row>
      <xdr:rowOff>166687</xdr:rowOff>
    </xdr:to>
    <xdr:graphicFrame macro="">
      <xdr:nvGraphicFramePr>
        <xdr:cNvPr id="15" name="Chart 14">
          <a:extLst>
            <a:ext uri="{FF2B5EF4-FFF2-40B4-BE49-F238E27FC236}">
              <a16:creationId xmlns:a16="http://schemas.microsoft.com/office/drawing/2014/main" id="{2B3AE55C-432E-4F35-86DA-35BCA57142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114300</xdr:colOff>
      <xdr:row>4</xdr:row>
      <xdr:rowOff>42862</xdr:rowOff>
    </xdr:from>
    <xdr:to>
      <xdr:col>18</xdr:col>
      <xdr:colOff>571500</xdr:colOff>
      <xdr:row>19</xdr:row>
      <xdr:rowOff>157162</xdr:rowOff>
    </xdr:to>
    <xdr:graphicFrame macro="">
      <xdr:nvGraphicFramePr>
        <xdr:cNvPr id="16" name="Chart 15">
          <a:extLst>
            <a:ext uri="{FF2B5EF4-FFF2-40B4-BE49-F238E27FC236}">
              <a16:creationId xmlns:a16="http://schemas.microsoft.com/office/drawing/2014/main" id="{334AFB27-000E-48E6-BACC-FE973CB31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19049</xdr:colOff>
      <xdr:row>0</xdr:row>
      <xdr:rowOff>57151</xdr:rowOff>
    </xdr:from>
    <xdr:to>
      <xdr:col>3</xdr:col>
      <xdr:colOff>85724</xdr:colOff>
      <xdr:row>3</xdr:row>
      <xdr:rowOff>34291</xdr:rowOff>
    </xdr:to>
    <xdr:sp macro="" textlink="">
      <xdr:nvSpPr>
        <xdr:cNvPr id="18" name="Rectangle 17">
          <a:extLst>
            <a:ext uri="{FF2B5EF4-FFF2-40B4-BE49-F238E27FC236}">
              <a16:creationId xmlns:a16="http://schemas.microsoft.com/office/drawing/2014/main" id="{AD285751-F7BF-ABE4-25CA-D5CCEF74962F}"/>
            </a:ext>
          </a:extLst>
        </xdr:cNvPr>
        <xdr:cNvSpPr/>
      </xdr:nvSpPr>
      <xdr:spPr>
        <a:xfrm>
          <a:off x="628649" y="57151"/>
          <a:ext cx="2743200" cy="54864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2400"/>
            <a:t>DASHBOARD</a:t>
          </a:r>
        </a:p>
      </xdr:txBody>
    </xdr:sp>
    <xdr:clientData/>
  </xdr:twoCellAnchor>
  <xdr:twoCellAnchor>
    <xdr:from>
      <xdr:col>1</xdr:col>
      <xdr:colOff>0</xdr:colOff>
      <xdr:row>20</xdr:row>
      <xdr:rowOff>52387</xdr:rowOff>
    </xdr:from>
    <xdr:to>
      <xdr:col>4</xdr:col>
      <xdr:colOff>533400</xdr:colOff>
      <xdr:row>34</xdr:row>
      <xdr:rowOff>128587</xdr:rowOff>
    </xdr:to>
    <xdr:graphicFrame macro="">
      <xdr:nvGraphicFramePr>
        <xdr:cNvPr id="19" name="Chart 18">
          <a:extLst>
            <a:ext uri="{FF2B5EF4-FFF2-40B4-BE49-F238E27FC236}">
              <a16:creationId xmlns:a16="http://schemas.microsoft.com/office/drawing/2014/main" id="{B5904959-882F-4B87-ABEC-81A669A845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0</xdr:colOff>
      <xdr:row>16</xdr:row>
      <xdr:rowOff>71437</xdr:rowOff>
    </xdr:from>
    <xdr:to>
      <xdr:col>3</xdr:col>
      <xdr:colOff>1072515</xdr:colOff>
      <xdr:row>19</xdr:row>
      <xdr:rowOff>180975</xdr:rowOff>
    </xdr:to>
    <mc:AlternateContent xmlns:mc="http://schemas.openxmlformats.org/markup-compatibility/2006">
      <mc:Choice xmlns:a14="http://schemas.microsoft.com/office/drawing/2010/main" Requires="a14">
        <xdr:graphicFrame macro="">
          <xdr:nvGraphicFramePr>
            <xdr:cNvPr id="20" name="Account Type">
              <a:extLst>
                <a:ext uri="{FF2B5EF4-FFF2-40B4-BE49-F238E27FC236}">
                  <a16:creationId xmlns:a16="http://schemas.microsoft.com/office/drawing/2014/main" id="{E79BB954-9D44-EE8A-BBB9-A019DC8EF7C1}"/>
                </a:ext>
              </a:extLst>
            </xdr:cNvPr>
            <xdr:cNvGraphicFramePr/>
          </xdr:nvGraphicFramePr>
          <xdr:xfrm>
            <a:off x="0" y="0"/>
            <a:ext cx="0" cy="0"/>
          </xdr:xfrm>
          <a:graphic>
            <a:graphicData uri="http://schemas.microsoft.com/office/drawing/2010/slicer">
              <sle:slicer xmlns:sle="http://schemas.microsoft.com/office/drawing/2010/slicer" name="Account Type"/>
            </a:graphicData>
          </a:graphic>
        </xdr:graphicFrame>
      </mc:Choice>
      <mc:Fallback>
        <xdr:sp macro="" textlink="">
          <xdr:nvSpPr>
            <xdr:cNvPr id="0" name=""/>
            <xdr:cNvSpPr>
              <a:spLocks noTextEdit="1"/>
            </xdr:cNvSpPr>
          </xdr:nvSpPr>
          <xdr:spPr>
            <a:xfrm>
              <a:off x="219075" y="3119437"/>
              <a:ext cx="3749040" cy="6810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57150</xdr:colOff>
      <xdr:row>20</xdr:row>
      <xdr:rowOff>71437</xdr:rowOff>
    </xdr:from>
    <xdr:to>
      <xdr:col>13</xdr:col>
      <xdr:colOff>533400</xdr:colOff>
      <xdr:row>34</xdr:row>
      <xdr:rowOff>147637</xdr:rowOff>
    </xdr:to>
    <xdr:graphicFrame macro="">
      <xdr:nvGraphicFramePr>
        <xdr:cNvPr id="21" name="Chart 20">
          <a:extLst>
            <a:ext uri="{FF2B5EF4-FFF2-40B4-BE49-F238E27FC236}">
              <a16:creationId xmlns:a16="http://schemas.microsoft.com/office/drawing/2014/main" id="{15A4EF73-1927-4A7F-8786-330715B49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47625</xdr:colOff>
      <xdr:row>20</xdr:row>
      <xdr:rowOff>71437</xdr:rowOff>
    </xdr:from>
    <xdr:to>
      <xdr:col>18</xdr:col>
      <xdr:colOff>571500</xdr:colOff>
      <xdr:row>34</xdr:row>
      <xdr:rowOff>147637</xdr:rowOff>
    </xdr:to>
    <xdr:graphicFrame macro="">
      <xdr:nvGraphicFramePr>
        <xdr:cNvPr id="22" name="Chart 21">
          <a:extLst>
            <a:ext uri="{FF2B5EF4-FFF2-40B4-BE49-F238E27FC236}">
              <a16:creationId xmlns:a16="http://schemas.microsoft.com/office/drawing/2014/main" id="{453DA6F9-2679-460D-A7C7-F2D16D380B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35</xdr:row>
      <xdr:rowOff>0</xdr:rowOff>
    </xdr:from>
    <xdr:to>
      <xdr:col>4</xdr:col>
      <xdr:colOff>573405</xdr:colOff>
      <xdr:row>49</xdr:row>
      <xdr:rowOff>76200</xdr:rowOff>
    </xdr:to>
    <xdr:graphicFrame macro="">
      <xdr:nvGraphicFramePr>
        <xdr:cNvPr id="23" name="Chart 22">
          <a:extLst>
            <a:ext uri="{FF2B5EF4-FFF2-40B4-BE49-F238E27FC236}">
              <a16:creationId xmlns:a16="http://schemas.microsoft.com/office/drawing/2014/main" id="{998B5B1F-BFCA-4C84-B540-3ADD208954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66675</xdr:colOff>
      <xdr:row>35</xdr:row>
      <xdr:rowOff>0</xdr:rowOff>
    </xdr:from>
    <xdr:to>
      <xdr:col>12</xdr:col>
      <xdr:colOff>554355</xdr:colOff>
      <xdr:row>49</xdr:row>
      <xdr:rowOff>76200</xdr:rowOff>
    </xdr:to>
    <mc:AlternateContent xmlns:mc="http://schemas.openxmlformats.org/markup-compatibility/2006">
      <mc:Choice xmlns:cx2="http://schemas.microsoft.com/office/drawing/2015/10/21/chartex" Requires="cx2">
        <xdr:graphicFrame macro="">
          <xdr:nvGraphicFramePr>
            <xdr:cNvPr id="24" name="Chart 23">
              <a:extLst>
                <a:ext uri="{FF2B5EF4-FFF2-40B4-BE49-F238E27FC236}">
                  <a16:creationId xmlns:a16="http://schemas.microsoft.com/office/drawing/2014/main" id="{456705A0-D0A6-4558-9565-08283C49E0A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5076825" y="6667500"/>
              <a:ext cx="47548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0</xdr:colOff>
      <xdr:row>35</xdr:row>
      <xdr:rowOff>0</xdr:rowOff>
    </xdr:from>
    <xdr:to>
      <xdr:col>18</xdr:col>
      <xdr:colOff>590550</xdr:colOff>
      <xdr:row>49</xdr:row>
      <xdr:rowOff>76200</xdr:rowOff>
    </xdr:to>
    <xdr:graphicFrame macro="">
      <xdr:nvGraphicFramePr>
        <xdr:cNvPr id="25" name="Chart 24">
          <a:extLst>
            <a:ext uri="{FF2B5EF4-FFF2-40B4-BE49-F238E27FC236}">
              <a16:creationId xmlns:a16="http://schemas.microsoft.com/office/drawing/2014/main" id="{25A50556-2C12-41A2-804B-8BFBFA5643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hika Sarkar" refreshedDate="44937.008078240739" createdVersion="8" refreshedVersion="8" minRefreshableVersion="3" recordCount="60" xr:uid="{A11663A9-0407-4C8E-B4BD-007A0605C2FB}">
  <cacheSource type="worksheet">
    <worksheetSource name="Table1"/>
  </cacheSource>
  <cacheFields count="18">
    <cacheField name="Account Name" numFmtId="0">
      <sharedItems count="60">
        <s v="SB 8"/>
        <s v="SB 4"/>
        <s v="SB 13"/>
        <s v="MB 5"/>
        <s v="OR 2"/>
        <s v="WD 11"/>
        <s v="MB 12"/>
        <s v="MB 6"/>
        <s v="WD 2"/>
        <s v="OR 10"/>
        <s v="OR 15"/>
        <s v="OR 9"/>
        <s v="MB 10"/>
        <s v="OR 7"/>
        <s v="MB 3"/>
        <s v="MB 14"/>
        <s v="WD 5"/>
        <s v="SB 14"/>
        <s v="OR 12"/>
        <s v="WD 10"/>
        <s v="OR 5"/>
        <s v="WD 7"/>
        <s v="SB 3"/>
        <s v="WD 13"/>
        <s v="WD 15"/>
        <s v="MB 7"/>
        <s v="WD 9"/>
        <s v="OR 14"/>
        <s v="WD 6"/>
        <s v="WD 14"/>
        <s v="WD 3"/>
        <s v="MB 9"/>
        <s v="SB 1"/>
        <s v="SB 5"/>
        <s v="SB 10"/>
        <s v="SB 6"/>
        <s v="OR 6"/>
        <s v="SB 12"/>
        <s v="OR 1"/>
        <s v="OR 4"/>
        <s v="MB 1"/>
        <s v="SB 2"/>
        <s v="MB 15"/>
        <s v="MB 2"/>
        <s v="OR 3"/>
        <s v="MB 13"/>
        <s v="WD 8"/>
        <s v="OR 13"/>
        <s v="MB 4"/>
        <s v="WD 12"/>
        <s v="SB 11"/>
        <s v="SB 9"/>
        <s v="WD 4"/>
        <s v="OR 8"/>
        <s v="MB 11"/>
        <s v="OR 11"/>
        <s v="MB 8"/>
        <s v="SB 15"/>
        <s v="SB 7"/>
        <s v="WD 1"/>
      </sharedItems>
    </cacheField>
    <cacheField name="Account Address" numFmtId="0">
      <sharedItems/>
    </cacheField>
    <cacheField name="Decision Maker" numFmtId="0">
      <sharedItems/>
    </cacheField>
    <cacheField name="Phone Number" numFmtId="0">
      <sharedItems/>
    </cacheField>
    <cacheField name="Account Type" numFmtId="0">
      <sharedItems count="4">
        <s v="Small Business"/>
        <s v="Medium Business"/>
        <s v="Online Retailer"/>
        <s v="Wholesale Distributor"/>
      </sharedItems>
    </cacheField>
    <cacheField name="Product 1" numFmtId="0">
      <sharedItems/>
    </cacheField>
    <cacheField name="Product 2" numFmtId="0">
      <sharedItems containsBlank="1"/>
    </cacheField>
    <cacheField name="Product 3" numFmtId="0">
      <sharedItems containsBlank="1"/>
    </cacheField>
    <cacheField name="Social Media" numFmtId="0">
      <sharedItems count="2">
        <s v="Yes"/>
        <s v="No"/>
      </sharedItems>
    </cacheField>
    <cacheField name="Coupons" numFmtId="0">
      <sharedItems containsBlank="1" count="3">
        <s v="No"/>
        <s v="Yes"/>
        <m/>
      </sharedItems>
    </cacheField>
    <cacheField name="Catalog Inclusion" numFmtId="0">
      <sharedItems containsBlank="1" count="3">
        <s v="Yes"/>
        <m/>
        <s v="No"/>
      </sharedItems>
    </cacheField>
    <cacheField name="Posters" numFmtId="0">
      <sharedItems count="2">
        <s v="No"/>
        <s v="Yes"/>
      </sharedItems>
    </cacheField>
    <cacheField name="2017" numFmtId="0">
      <sharedItems containsSemiMixedTypes="0" containsString="0" containsNumber="1" containsInteger="1" minValue="24" maxValue="9791" count="60">
        <n v="1581"/>
        <n v="906"/>
        <n v="24"/>
        <n v="73"/>
        <n v="138"/>
        <n v="128"/>
        <n v="209"/>
        <n v="238"/>
        <n v="299"/>
        <n v="376"/>
        <n v="431"/>
        <n v="488"/>
        <n v="570"/>
        <n v="742"/>
        <n v="700"/>
        <n v="712"/>
        <n v="870"/>
        <n v="861"/>
        <n v="1038"/>
        <n v="576"/>
        <n v="1092"/>
        <n v="1082"/>
        <n v="1209"/>
        <n v="1263"/>
        <n v="1014"/>
        <n v="1368"/>
        <n v="1357"/>
        <n v="1290"/>
        <n v="1497"/>
        <n v="1032"/>
        <n v="1323"/>
        <n v="1779"/>
        <n v="1982"/>
        <n v="1421"/>
        <n v="1530"/>
        <n v="2341"/>
        <n v="2541"/>
        <n v="1532"/>
        <n v="2519"/>
        <n v="3297"/>
        <n v="3501"/>
        <n v="2786"/>
        <n v="2390"/>
        <n v="3916"/>
        <n v="8873"/>
        <n v="6309"/>
        <n v="9791"/>
        <n v="8891"/>
        <n v="9773"/>
        <n v="8034"/>
        <n v="7555"/>
        <n v="9766"/>
        <n v="8466"/>
        <n v="7703"/>
        <n v="6156"/>
        <n v="7840"/>
        <n v="8331"/>
        <n v="9058"/>
        <n v="9252"/>
        <n v="8156"/>
      </sharedItems>
    </cacheField>
    <cacheField name="2018" numFmtId="0">
      <sharedItems containsSemiMixedTypes="0" containsString="0" containsNumber="1" containsInteger="1" minValue="286" maxValue="9610"/>
    </cacheField>
    <cacheField name="2019" numFmtId="0">
      <sharedItems containsSemiMixedTypes="0" containsString="0" containsNumber="1" containsInteger="1" minValue="747" maxValue="8390"/>
    </cacheField>
    <cacheField name="2020" numFmtId="0">
      <sharedItems containsSemiMixedTypes="0" containsString="0" containsNumber="1" containsInteger="1" minValue="338" maxValue="9024"/>
    </cacheField>
    <cacheField name="2021" numFmtId="0">
      <sharedItems containsSemiMixedTypes="0" containsString="0" containsNumber="1" containsInteger="1" minValue="44" maxValue="9983"/>
    </cacheField>
    <cacheField name="5 YR CAGR" numFmtId="9">
      <sharedItems containsMixedTypes="1" containsNumber="1" minValue="-0.72898466539472961" maxValue="3.3498147004699526" count="59">
        <e v="#VALUE!"/>
        <n v="3.3498147004699526"/>
        <n v="2.2455667067018901"/>
        <n v="1.8142296888697582"/>
        <n v="1.6546701130112136"/>
        <n v="1.5203389637502625"/>
        <n v="1.4232703532020747"/>
        <n v="1.3475541667800686"/>
        <n v="1.1188084145320056"/>
        <n v="1.0930046233022455"/>
        <n v="1.084072328017021"/>
        <n v="1.0242801438529217"/>
        <n v="0.91164163510334228"/>
        <n v="0.90588403033885334"/>
        <n v="0.86419779018759768"/>
        <n v="0.83041416010220881"/>
        <n v="0.81146879617010592"/>
        <n v="0.74338775485751718"/>
        <n v="0.72970725225475852"/>
        <n v="0.71660086943635504"/>
        <n v="0.71094693671276654"/>
        <n v="0.68595057009486848"/>
        <n v="0.66412244620782168"/>
        <n v="0.66163405613342663"/>
        <n v="0.64359095818904954"/>
        <n v="0.63431246502429839"/>
        <n v="0.61767741115573149"/>
        <n v="0.60045892388204325"/>
        <n v="0.58272982283102692"/>
        <n v="0.57793816418173161"/>
        <n v="0.52294422157633269"/>
        <n v="0.46352749292411066"/>
        <n v="0.42582583880267388"/>
        <n v="0.40734683274409145"/>
        <n v="0.390755806385503"/>
        <n v="0.38456165928272146"/>
        <n v="0.3690560602470212"/>
        <n v="0.36636455401735013"/>
        <n v="0.30577482876902251"/>
        <n v="0.27407081068210992"/>
        <n v="0.25489826874508914"/>
        <n v="0.18148193130433588"/>
        <n v="0.17983468576187267"/>
        <n v="-7.1596691853915484E-2"/>
        <n v="-0.11575568185753915"/>
        <n v="-0.15736979056747447"/>
        <n v="-0.17943016656995925"/>
        <n v="-0.20956409258224717"/>
        <n v="-0.23952671916055424"/>
        <n v="-0.25247905109930902"/>
        <n v="-0.29790601141591733"/>
        <n v="-0.33098339677163802"/>
        <n v="-0.33438519484677687"/>
        <n v="-0.37012221518144006"/>
        <n v="-0.41679289513417705"/>
        <n v="-0.53938981874158332"/>
        <n v="-0.55073921414194782"/>
        <n v="-0.61139202601329412"/>
        <n v="-0.72898466539472961"/>
      </sharedItems>
    </cacheField>
  </cacheFields>
  <extLst>
    <ext xmlns:x14="http://schemas.microsoft.com/office/spreadsheetml/2009/9/main" uri="{725AE2AE-9491-48be-B2B4-4EB974FC3084}">
      <x14:pivotCacheDefinition pivotCacheId="17311717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hika Sarkar" refreshedDate="44937.152526041667" createdVersion="8" refreshedVersion="8" minRefreshableVersion="3" recordCount="60" xr:uid="{E079F2DB-E561-450E-A1E1-C73A8AE6F7A2}">
  <cacheSource type="worksheet">
    <worksheetSource name="Table2"/>
  </cacheSource>
  <cacheFields count="19">
    <cacheField name="Account Name" numFmtId="0">
      <sharedItems/>
    </cacheField>
    <cacheField name="Account Address" numFmtId="0">
      <sharedItems/>
    </cacheField>
    <cacheField name="Column1" numFmtId="0">
      <sharedItems count="5">
        <s v="Brooklyn"/>
        <s v="New York"/>
        <s v="Bronx"/>
        <s v="Yonkers"/>
        <s v="Staten Island"/>
      </sharedItems>
    </cacheField>
    <cacheField name="Decision Maker" numFmtId="0">
      <sharedItems/>
    </cacheField>
    <cacheField name="Phone Number" numFmtId="0">
      <sharedItems/>
    </cacheField>
    <cacheField name="Account Type" numFmtId="0">
      <sharedItems count="4">
        <s v="Small Business"/>
        <s v="Medium Business"/>
        <s v="Online Retailer"/>
        <s v="Wholesale Distributor"/>
      </sharedItems>
    </cacheField>
    <cacheField name="Product 1" numFmtId="0">
      <sharedItems/>
    </cacheField>
    <cacheField name="Product 2" numFmtId="0">
      <sharedItems containsBlank="1"/>
    </cacheField>
    <cacheField name="Product 3" numFmtId="0">
      <sharedItems containsBlank="1"/>
    </cacheField>
    <cacheField name="Social Media" numFmtId="0">
      <sharedItems count="2">
        <s v="Yes"/>
        <s v="No"/>
      </sharedItems>
    </cacheField>
    <cacheField name="Coupons" numFmtId="0">
      <sharedItems containsBlank="1" count="3">
        <s v="No"/>
        <s v="Yes"/>
        <m/>
      </sharedItems>
    </cacheField>
    <cacheField name="Catalog Inclusion" numFmtId="0">
      <sharedItems containsBlank="1" count="3">
        <s v="Yes"/>
        <m/>
        <s v="No"/>
      </sharedItems>
    </cacheField>
    <cacheField name="Posters" numFmtId="0">
      <sharedItems count="2">
        <s v="No"/>
        <s v="Yes"/>
      </sharedItems>
    </cacheField>
    <cacheField name="2017" numFmtId="0">
      <sharedItems containsSemiMixedTypes="0" containsString="0" containsNumber="1" containsInteger="1" minValue="24" maxValue="9791" count="60">
        <n v="1581"/>
        <n v="906"/>
        <n v="24"/>
        <n v="73"/>
        <n v="138"/>
        <n v="128"/>
        <n v="209"/>
        <n v="238"/>
        <n v="299"/>
        <n v="376"/>
        <n v="431"/>
        <n v="488"/>
        <n v="570"/>
        <n v="742"/>
        <n v="700"/>
        <n v="712"/>
        <n v="870"/>
        <n v="861"/>
        <n v="1038"/>
        <n v="576"/>
        <n v="1092"/>
        <n v="1082"/>
        <n v="1209"/>
        <n v="1263"/>
        <n v="1014"/>
        <n v="1368"/>
        <n v="1357"/>
        <n v="1290"/>
        <n v="1497"/>
        <n v="1032"/>
        <n v="1323"/>
        <n v="1779"/>
        <n v="1982"/>
        <n v="1421"/>
        <n v="1530"/>
        <n v="2341"/>
        <n v="2541"/>
        <n v="1532"/>
        <n v="2519"/>
        <n v="3297"/>
        <n v="3501"/>
        <n v="2786"/>
        <n v="2390"/>
        <n v="3916"/>
        <n v="8873"/>
        <n v="6309"/>
        <n v="9791"/>
        <n v="8891"/>
        <n v="9773"/>
        <n v="8034"/>
        <n v="7555"/>
        <n v="9766"/>
        <n v="8466"/>
        <n v="7703"/>
        <n v="6156"/>
        <n v="7840"/>
        <n v="8331"/>
        <n v="9058"/>
        <n v="9252"/>
        <n v="8156"/>
      </sharedItems>
    </cacheField>
    <cacheField name="2018" numFmtId="0">
      <sharedItems containsSemiMixedTypes="0" containsString="0" containsNumber="1" containsInteger="1" minValue="286" maxValue="9610"/>
    </cacheField>
    <cacheField name="2019" numFmtId="0">
      <sharedItems containsSemiMixedTypes="0" containsString="0" containsNumber="1" containsInteger="1" minValue="747" maxValue="8390"/>
    </cacheField>
    <cacheField name="2020" numFmtId="0">
      <sharedItems containsSemiMixedTypes="0" containsString="0" containsNumber="1" containsInteger="1" minValue="338" maxValue="9024"/>
    </cacheField>
    <cacheField name="2021" numFmtId="0">
      <sharedItems containsSemiMixedTypes="0" containsString="0" containsNumber="1" containsInteger="1" minValue="44" maxValue="9983"/>
    </cacheField>
    <cacheField name="5 YR CAGR" numFmtId="9">
      <sharedItems containsSemiMixedTypes="0" containsString="0" containsNumber="1" minValue="-0.72898466539472961" maxValue="3.3498147004699526" count="59">
        <n v="0"/>
        <n v="3.3498147004699526"/>
        <n v="2.2455667067018901"/>
        <n v="1.8142296888697582"/>
        <n v="1.6546701130112136"/>
        <n v="1.5203389637502625"/>
        <n v="1.4232703532020747"/>
        <n v="1.3475541667800686"/>
        <n v="1.1188084145320056"/>
        <n v="1.0930046233022455"/>
        <n v="1.084072328017021"/>
        <n v="1.0242801438529217"/>
        <n v="0.91164163510334228"/>
        <n v="0.90588403033885334"/>
        <n v="0.86419779018759768"/>
        <n v="0.83041416010220881"/>
        <n v="0.81146879617010592"/>
        <n v="0.74338775485751718"/>
        <n v="0.72970725225475852"/>
        <n v="0.71660086943635504"/>
        <n v="0.71094693671276654"/>
        <n v="0.68595057009486848"/>
        <n v="0.66412244620782168"/>
        <n v="0.66163405613342663"/>
        <n v="0.64359095818904954"/>
        <n v="0.63431246502429839"/>
        <n v="0.61767741115573149"/>
        <n v="0.60045892388204325"/>
        <n v="0.58272982283102692"/>
        <n v="0.57793816418173161"/>
        <n v="0.52294422157633269"/>
        <n v="0.46352749292411066"/>
        <n v="0.42582583880267388"/>
        <n v="0.40734683274409145"/>
        <n v="0.390755806385503"/>
        <n v="0.38456165928272146"/>
        <n v="0.3690560602470212"/>
        <n v="0.36636455401735013"/>
        <n v="0.30577482876902251"/>
        <n v="0.27407081068210992"/>
        <n v="0.25489826874508914"/>
        <n v="0.18148193130433588"/>
        <n v="0.17983468576187267"/>
        <n v="-7.1596691853915484E-2"/>
        <n v="-0.11575568185753915"/>
        <n v="-0.15736979056747447"/>
        <n v="-0.17943016656995925"/>
        <n v="-0.20956409258224717"/>
        <n v="-0.23952671916055424"/>
        <n v="-0.25247905109930902"/>
        <n v="-0.29790601141591733"/>
        <n v="-0.33098339677163802"/>
        <n v="-0.33438519484677687"/>
        <n v="-0.37012221518144006"/>
        <n v="-0.41679289513417705"/>
        <n v="-0.53938981874158332"/>
        <n v="-0.55073921414194782"/>
        <n v="-0.61139202601329412"/>
        <n v="-0.7289846653947296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8735 Squaw Creek Drive, Brooklyn NY 11214"/>
    <s v="Juanita Wisozk"/>
    <s v="(305) 531-1310"/>
    <x v="0"/>
    <s v="Yes"/>
    <m/>
    <m/>
    <x v="0"/>
    <x v="0"/>
    <x v="0"/>
    <x v="0"/>
    <x v="0"/>
    <n v="4799"/>
    <n v="6582"/>
    <n v="9024"/>
    <n v="9759"/>
    <x v="0"/>
  </r>
  <r>
    <x v="1"/>
    <s v="2930 Southern Street, New York NY 10005"/>
    <s v="Susana Huels"/>
    <s v="(491) 505-6064"/>
    <x v="0"/>
    <s v="Yes"/>
    <s v="Yes"/>
    <s v="Yes"/>
    <x v="0"/>
    <x v="1"/>
    <x v="0"/>
    <x v="1"/>
    <x v="1"/>
    <n v="1251"/>
    <n v="2897"/>
    <n v="4499"/>
    <n v="9428"/>
    <x v="0"/>
  </r>
  <r>
    <x v="2"/>
    <s v="9575 Shipley Court, Brooklyn NY 11201"/>
    <s v="Tim Young"/>
    <s v="(876) 653-1727"/>
    <x v="0"/>
    <s v="Yes"/>
    <m/>
    <m/>
    <x v="0"/>
    <x v="2"/>
    <x v="1"/>
    <x v="1"/>
    <x v="2"/>
    <n v="1797"/>
    <n v="3548"/>
    <n v="3668"/>
    <n v="8592"/>
    <x v="1"/>
  </r>
  <r>
    <x v="3"/>
    <s v="402 Bridgeton Lane, Bronx NY 10468"/>
    <s v="Bill Callahan"/>
    <s v="(617) 419-7996"/>
    <x v="1"/>
    <s v="Yes"/>
    <s v="Yes"/>
    <s v="No"/>
    <x v="0"/>
    <x v="0"/>
    <x v="0"/>
    <x v="0"/>
    <x v="3"/>
    <n v="3485"/>
    <n v="4592"/>
    <n v="5143"/>
    <n v="8100"/>
    <x v="2"/>
  </r>
  <r>
    <x v="4"/>
    <s v="7061 Bishop St, Yonkers NY 10701"/>
    <s v="Raymond Heywin"/>
    <s v="(571) 843-1746"/>
    <x v="2"/>
    <s v="Yes"/>
    <s v="Yes"/>
    <s v="Yes"/>
    <x v="0"/>
    <x v="1"/>
    <x v="0"/>
    <x v="0"/>
    <x v="4"/>
    <n v="286"/>
    <n v="6750"/>
    <n v="8254"/>
    <n v="8656"/>
    <x v="3"/>
  </r>
  <r>
    <x v="5"/>
    <s v="419 E. Henry Ave, New York NY 10031"/>
    <s v="Carlos Jackson"/>
    <s v="(201) 363-0653"/>
    <x v="3"/>
    <s v="Yes"/>
    <s v="Yes"/>
    <s v="Yes"/>
    <x v="1"/>
    <x v="0"/>
    <x v="0"/>
    <x v="0"/>
    <x v="5"/>
    <n v="416"/>
    <n v="747"/>
    <n v="1028"/>
    <n v="6357"/>
    <x v="4"/>
  </r>
  <r>
    <x v="6"/>
    <s v="240 W. Manhattan St, Bronx NY 10462"/>
    <s v="Mel Berkowitz"/>
    <s v="(967) 547-1542"/>
    <x v="1"/>
    <s v="Yes"/>
    <s v="Yes"/>
    <s v="No"/>
    <x v="0"/>
    <x v="1"/>
    <x v="0"/>
    <x v="0"/>
    <x v="6"/>
    <n v="621"/>
    <n v="3098"/>
    <n v="7118"/>
    <n v="8433"/>
    <x v="5"/>
  </r>
  <r>
    <x v="7"/>
    <s v="6 E. Nichols Ave, New York NY 10027"/>
    <s v="Anthony Brooks"/>
    <s v="(349) 801-7566"/>
    <x v="1"/>
    <s v="Yes"/>
    <s v="Yes"/>
    <s v="No"/>
    <x v="0"/>
    <x v="0"/>
    <x v="0"/>
    <x v="0"/>
    <x v="7"/>
    <n v="1235"/>
    <n v="1822"/>
    <n v="7074"/>
    <n v="8207"/>
    <x v="6"/>
  </r>
  <r>
    <x v="8"/>
    <s v="815 2nd St, New York NY 10028"/>
    <s v="Craig Collins"/>
    <s v="(828) 840-2736"/>
    <x v="3"/>
    <s v="Yes"/>
    <s v="Yes"/>
    <s v="Yes"/>
    <x v="1"/>
    <x v="0"/>
    <x v="0"/>
    <x v="0"/>
    <x v="8"/>
    <n v="657"/>
    <n v="6238"/>
    <n v="8922"/>
    <n v="9081"/>
    <x v="7"/>
  </r>
  <r>
    <x v="9"/>
    <s v="596 Coffee St, Bronx NY 10472"/>
    <s v="Larry Alaimo"/>
    <s v="(242) 869-1226"/>
    <x v="2"/>
    <s v="Yes"/>
    <s v="Yes"/>
    <s v="Yes"/>
    <x v="0"/>
    <x v="1"/>
    <x v="0"/>
    <x v="1"/>
    <x v="9"/>
    <n v="889"/>
    <n v="4373"/>
    <n v="6803"/>
    <n v="7578"/>
    <x v="8"/>
  </r>
  <r>
    <x v="10"/>
    <s v="7217 Birch Hill Dr, New York NY 10009"/>
    <s v="Darnell Straughter"/>
    <s v="(680) 628-4625"/>
    <x v="2"/>
    <s v="Yes"/>
    <s v="Yes"/>
    <s v="Yes"/>
    <x v="0"/>
    <x v="1"/>
    <x v="2"/>
    <x v="0"/>
    <x v="10"/>
    <n v="6231"/>
    <n v="7478"/>
    <n v="8039"/>
    <n v="8271"/>
    <x v="9"/>
  </r>
  <r>
    <x v="11"/>
    <s v="81 San Carlos Road, Bronx NY 10463"/>
    <s v="Dominique Johnson"/>
    <s v="(336) 448-7026"/>
    <x v="2"/>
    <s v="Yes"/>
    <s v="Yes"/>
    <s v="Yes"/>
    <x v="0"/>
    <x v="1"/>
    <x v="0"/>
    <x v="1"/>
    <x v="11"/>
    <n v="5535"/>
    <n v="5775"/>
    <n v="7661"/>
    <n v="9206"/>
    <x v="10"/>
  </r>
  <r>
    <x v="12"/>
    <s v="267 Randall Mill Dr, New York NY 10033"/>
    <s v="Kathy Rogers"/>
    <s v="(939) 738-6471"/>
    <x v="1"/>
    <s v="Yes"/>
    <s v="Yes"/>
    <s v="No"/>
    <x v="0"/>
    <x v="1"/>
    <x v="0"/>
    <x v="0"/>
    <x v="12"/>
    <n v="1322"/>
    <n v="7279"/>
    <n v="8443"/>
    <n v="9571"/>
    <x v="11"/>
  </r>
  <r>
    <x v="13"/>
    <s v="640 Beechwood Dr, Bronx NY 10461"/>
    <s v="Juan Scott"/>
    <s v="(357) 532-0838"/>
    <x v="2"/>
    <s v="Yes"/>
    <s v="Yes"/>
    <s v="Yes"/>
    <x v="0"/>
    <x v="1"/>
    <x v="0"/>
    <x v="1"/>
    <x v="13"/>
    <n v="3751"/>
    <n v="4423"/>
    <n v="8733"/>
    <n v="9909"/>
    <x v="12"/>
  </r>
  <r>
    <x v="14"/>
    <s v="9132 Redwood Rd, Bronx NY 10466"/>
    <s v="Christopher Evans"/>
    <s v="(831) 406-6300"/>
    <x v="1"/>
    <s v="Yes"/>
    <s v="Yes"/>
    <s v="No"/>
    <x v="0"/>
    <x v="0"/>
    <x v="0"/>
    <x v="0"/>
    <x v="14"/>
    <n v="5721"/>
    <n v="6247"/>
    <n v="8495"/>
    <n v="9236"/>
    <x v="13"/>
  </r>
  <r>
    <x v="15"/>
    <s v="48 S. Brandywine St, New York NY 10002"/>
    <s v="Deshaun Fletcher"/>
    <s v="(845) 304-6511"/>
    <x v="1"/>
    <s v="Yes"/>
    <s v="Yes"/>
    <s v="No"/>
    <x v="0"/>
    <x v="0"/>
    <x v="0"/>
    <x v="0"/>
    <x v="15"/>
    <n v="4182"/>
    <n v="6087"/>
    <n v="7494"/>
    <n v="8599"/>
    <x v="14"/>
  </r>
  <r>
    <x v="16"/>
    <s v="21 Yukon St, Bronx NY 10451"/>
    <s v="Andre Mobley"/>
    <s v="(597) 701-9429"/>
    <x v="3"/>
    <s v="Yes"/>
    <s v="Yes"/>
    <s v="Yes"/>
    <x v="1"/>
    <x v="0"/>
    <x v="0"/>
    <x v="0"/>
    <x v="16"/>
    <n v="2428"/>
    <n v="7386"/>
    <n v="8835"/>
    <n v="9766"/>
    <x v="15"/>
  </r>
  <r>
    <x v="17"/>
    <s v="8156 Lake View Street, New York, NY 10025"/>
    <s v="Debra Kroll"/>
    <s v="(628) 832-4986"/>
    <x v="0"/>
    <s v="Yes"/>
    <s v="Yes"/>
    <s v="Yes"/>
    <x v="0"/>
    <x v="1"/>
    <x v="0"/>
    <x v="1"/>
    <x v="17"/>
    <n v="1314"/>
    <n v="1810"/>
    <n v="6510"/>
    <n v="9271"/>
    <x v="16"/>
  </r>
  <r>
    <x v="18"/>
    <s v="9151 River St, Brooklyn NY 11230"/>
    <s v="Shaun Salvatore"/>
    <s v="(691) 657-1498"/>
    <x v="2"/>
    <s v="Yes"/>
    <s v="Yes"/>
    <s v="Yes"/>
    <x v="0"/>
    <x v="1"/>
    <x v="0"/>
    <x v="1"/>
    <x v="18"/>
    <n v="3615"/>
    <n v="3712"/>
    <n v="5819"/>
    <n v="9589"/>
    <x v="17"/>
  </r>
  <r>
    <x v="19"/>
    <s v="9760 Taylor Dr, Brooklyn NY 11211"/>
    <s v="Joe Schimke"/>
    <s v="(936) 816-9148"/>
    <x v="3"/>
    <s v="Yes"/>
    <s v="No"/>
    <s v="No"/>
    <x v="1"/>
    <x v="0"/>
    <x v="0"/>
    <x v="0"/>
    <x v="19"/>
    <n v="2628"/>
    <n v="3612"/>
    <n v="5066"/>
    <n v="5156"/>
    <x v="18"/>
  </r>
  <r>
    <x v="20"/>
    <s v="7839 Elm St, Staten Island NY 10306"/>
    <s v="Lee Niemeyer"/>
    <s v="(920) 451-3973"/>
    <x v="2"/>
    <s v="Yes"/>
    <s v="Yes"/>
    <s v="Yes"/>
    <x v="0"/>
    <x v="1"/>
    <x v="0"/>
    <x v="1"/>
    <x v="20"/>
    <n v="3140"/>
    <n v="4123"/>
    <n v="4366"/>
    <n v="9482"/>
    <x v="19"/>
  </r>
  <r>
    <x v="21"/>
    <s v="65 Lower River Ave, Bronx NY 10465"/>
    <s v="Thomas Stewart"/>
    <s v="(381) 643-1230"/>
    <x v="3"/>
    <s v="Yes"/>
    <s v="Yes"/>
    <s v="Yes"/>
    <x v="1"/>
    <x v="0"/>
    <x v="0"/>
    <x v="0"/>
    <x v="21"/>
    <n v="3353"/>
    <n v="6351"/>
    <n v="8550"/>
    <n v="9272"/>
    <x v="20"/>
  </r>
  <r>
    <x v="22"/>
    <s v="2285 Ladybug Drive, New York NY 10013"/>
    <s v="Vin Hudson"/>
    <s v="(952) 952-5573"/>
    <x v="0"/>
    <s v="Yes"/>
    <s v="Yes"/>
    <s v="Yes"/>
    <x v="0"/>
    <x v="1"/>
    <x v="0"/>
    <x v="1"/>
    <x v="22"/>
    <n v="1534"/>
    <n v="1634"/>
    <n v="4302"/>
    <n v="9768"/>
    <x v="21"/>
  </r>
  <r>
    <x v="23"/>
    <s v="2 Rock Maple Ave, New York NY 10029"/>
    <s v="Shameka West"/>
    <s v="(488) 656-0761"/>
    <x v="3"/>
    <s v="Yes"/>
    <s v="Yes"/>
    <s v="Yes"/>
    <x v="1"/>
    <x v="0"/>
    <x v="2"/>
    <x v="0"/>
    <x v="23"/>
    <n v="2517"/>
    <n v="8042"/>
    <n v="8222"/>
    <n v="9686"/>
    <x v="22"/>
  </r>
  <r>
    <x v="24"/>
    <s v="174 Del Monte St, Brooklyn NY 11224"/>
    <s v="Anna Grey"/>
    <s v="(980) 437-1451"/>
    <x v="3"/>
    <s v="Yes"/>
    <s v="Yes"/>
    <s v="Yes"/>
    <x v="1"/>
    <x v="0"/>
    <x v="2"/>
    <x v="0"/>
    <x v="24"/>
    <n v="2254"/>
    <n v="4534"/>
    <n v="6796"/>
    <n v="7730"/>
    <x v="23"/>
  </r>
  <r>
    <x v="25"/>
    <s v="323 North Edgewood St, Bronx NY 10457"/>
    <s v="Charlotte Leroux"/>
    <s v="(784) 634-6873"/>
    <x v="1"/>
    <s v="Yes"/>
    <s v="Yes"/>
    <s v="No"/>
    <x v="0"/>
    <x v="0"/>
    <x v="0"/>
    <x v="0"/>
    <x v="25"/>
    <n v="3447"/>
    <n v="4535"/>
    <n v="5476"/>
    <n v="9983"/>
    <x v="24"/>
  </r>
  <r>
    <x v="26"/>
    <s v="8388 Gonzales St, Brooklyn NY 11228"/>
    <s v="Danielle Tomas"/>
    <s v="(459) 261-2301"/>
    <x v="3"/>
    <s v="Yes"/>
    <s v="Yes"/>
    <s v="Yes"/>
    <x v="1"/>
    <x v="0"/>
    <x v="0"/>
    <x v="0"/>
    <x v="26"/>
    <n v="4189"/>
    <n v="5407"/>
    <n v="6233"/>
    <n v="9681"/>
    <x v="25"/>
  </r>
  <r>
    <x v="27"/>
    <s v="81 Crescent St, Brooklyn NY 11210"/>
    <s v="Maria Sawyer"/>
    <s v="(881) 243-5276"/>
    <x v="2"/>
    <s v="Yes"/>
    <s v="Yes"/>
    <s v="Yes"/>
    <x v="0"/>
    <x v="0"/>
    <x v="2"/>
    <x v="0"/>
    <x v="27"/>
    <n v="4033"/>
    <n v="6956"/>
    <n v="7929"/>
    <n v="8834"/>
    <x v="26"/>
  </r>
  <r>
    <x v="28"/>
    <s v="18 N. Woodland Ave, New York NY 10025"/>
    <s v="Ray Hernandez"/>
    <s v="(609) 345-8163"/>
    <x v="3"/>
    <s v="Yes"/>
    <s v="Yes"/>
    <s v="Yes"/>
    <x v="1"/>
    <x v="0"/>
    <x v="0"/>
    <x v="0"/>
    <x v="28"/>
    <n v="1768"/>
    <n v="2804"/>
    <n v="5718"/>
    <n v="9822"/>
    <x v="27"/>
  </r>
  <r>
    <x v="29"/>
    <s v="9577 Nicolls Ave, Staten Island NY 10312"/>
    <s v="Kevin Fleming"/>
    <s v="(650) 848-8284"/>
    <x v="3"/>
    <s v="Yes"/>
    <s v="Yes"/>
    <s v="Yes"/>
    <x v="1"/>
    <x v="0"/>
    <x v="2"/>
    <x v="0"/>
    <x v="29"/>
    <n v="3919"/>
    <n v="4466"/>
    <n v="5568"/>
    <n v="6476"/>
    <x v="28"/>
  </r>
  <r>
    <x v="30"/>
    <s v="9875 Franklin Rd, Brooklyn NY 11223"/>
    <s v="Donna Lam"/>
    <s v="(931) 618-9558"/>
    <x v="3"/>
    <s v="Yes"/>
    <s v="Yes"/>
    <s v="Yes"/>
    <x v="1"/>
    <x v="0"/>
    <x v="0"/>
    <x v="0"/>
    <x v="30"/>
    <n v="4963"/>
    <n v="6292"/>
    <n v="6728"/>
    <n v="8202"/>
    <x v="29"/>
  </r>
  <r>
    <x v="31"/>
    <s v="861 Gonzales Lane, Bronx NY 10472"/>
    <s v="Mia Ang"/>
    <s v="(253) 861-1301"/>
    <x v="1"/>
    <s v="Yes"/>
    <s v="Yes"/>
    <s v="No"/>
    <x v="0"/>
    <x v="1"/>
    <x v="0"/>
    <x v="0"/>
    <x v="31"/>
    <n v="2124"/>
    <n v="2844"/>
    <n v="6877"/>
    <n v="9570"/>
    <x v="30"/>
  </r>
  <r>
    <x v="32"/>
    <s v="2131 Patterson Road, Brooklyn NY 11201"/>
    <s v="Dorothy Rizzo"/>
    <s v="(880) 283-6803"/>
    <x v="0"/>
    <s v="Yes"/>
    <s v="Yes"/>
    <s v="Yes"/>
    <x v="0"/>
    <x v="1"/>
    <x v="0"/>
    <x v="1"/>
    <x v="32"/>
    <n v="5388"/>
    <n v="7063"/>
    <n v="7208"/>
    <n v="9093"/>
    <x v="31"/>
  </r>
  <r>
    <x v="33"/>
    <s v="2807 Geraldine Lane, New York NY 10004"/>
    <s v="Shanna Hettinger"/>
    <s v="(412) 570-0596"/>
    <x v="0"/>
    <s v="Yes"/>
    <s v="Yes"/>
    <s v="No"/>
    <x v="0"/>
    <x v="1"/>
    <x v="0"/>
    <x v="1"/>
    <x v="33"/>
    <n v="1893"/>
    <n v="2722"/>
    <n v="4410"/>
    <n v="5873"/>
    <x v="32"/>
  </r>
  <r>
    <x v="34"/>
    <s v="102 Coffee Court, Bronx NY 10461"/>
    <s v="Holly Gaines"/>
    <s v="(277) 456-4626"/>
    <x v="0"/>
    <s v="Yes"/>
    <s v="Yes"/>
    <s v="No"/>
    <x v="0"/>
    <x v="0"/>
    <x v="0"/>
    <x v="0"/>
    <x v="34"/>
    <n v="1620"/>
    <n v="2027"/>
    <n v="4881"/>
    <n v="6002"/>
    <x v="33"/>
  </r>
  <r>
    <x v="35"/>
    <s v="7778 Cherry Road, Bronx NY 10467"/>
    <s v="Roy McGlynn"/>
    <s v="(594) 807-4187"/>
    <x v="0"/>
    <s v="Yes"/>
    <s v="Yes"/>
    <s v="Yes"/>
    <x v="1"/>
    <x v="1"/>
    <x v="0"/>
    <x v="0"/>
    <x v="35"/>
    <n v="6105"/>
    <n v="7777"/>
    <n v="7891"/>
    <n v="8758"/>
    <x v="34"/>
  </r>
  <r>
    <x v="36"/>
    <s v="429 Stonybrook Dr, Brooklyn NY 11203"/>
    <s v="Stephen Harris"/>
    <s v="(258) 948-7479"/>
    <x v="2"/>
    <s v="Yes"/>
    <s v="Yes"/>
    <s v="Yes"/>
    <x v="1"/>
    <x v="0"/>
    <x v="0"/>
    <x v="1"/>
    <x v="36"/>
    <n v="3794"/>
    <n v="3984"/>
    <n v="8803"/>
    <n v="9338"/>
    <x v="35"/>
  </r>
  <r>
    <x v="37"/>
    <s v="7488 N. Marconi Ave, Brooklyn NY 11237"/>
    <s v="Jeffrey Akins"/>
    <s v="(313) 417-8968"/>
    <x v="0"/>
    <s v="Yes"/>
    <s v="No"/>
    <s v="No"/>
    <x v="1"/>
    <x v="0"/>
    <x v="2"/>
    <x v="0"/>
    <x v="37"/>
    <n v="2678"/>
    <n v="4068"/>
    <n v="4278"/>
    <n v="5382"/>
    <x v="36"/>
  </r>
  <r>
    <x v="38"/>
    <s v="77 Stillwater St, Brooklyn NY 11213"/>
    <s v="John Mackey"/>
    <s v="(831) 581-1892"/>
    <x v="2"/>
    <s v="Yes"/>
    <s v="Yes"/>
    <s v="Yes"/>
    <x v="1"/>
    <x v="0"/>
    <x v="0"/>
    <x v="0"/>
    <x v="38"/>
    <n v="3938"/>
    <n v="5190"/>
    <n v="8203"/>
    <n v="8780"/>
    <x v="37"/>
  </r>
  <r>
    <x v="39"/>
    <s v="62 Lafayette Ave, Bronx NY 10462"/>
    <s v="Brooke Hayes"/>
    <s v="(247) 999-3394"/>
    <x v="2"/>
    <s v="Yes"/>
    <s v="Yes"/>
    <s v="Yes"/>
    <x v="1"/>
    <x v="0"/>
    <x v="0"/>
    <x v="1"/>
    <x v="39"/>
    <n v="4866"/>
    <n v="4928"/>
    <n v="8451"/>
    <n v="9585"/>
    <x v="38"/>
  </r>
  <r>
    <x v="40"/>
    <s v="9848 Linden St, New York NY 10011"/>
    <s v="Dan Hill"/>
    <s v="(248) 450-0797"/>
    <x v="1"/>
    <s v="Yes"/>
    <s v="Yes"/>
    <s v="No"/>
    <x v="1"/>
    <x v="0"/>
    <x v="2"/>
    <x v="0"/>
    <x v="40"/>
    <n v="7079"/>
    <n v="7438"/>
    <n v="7443"/>
    <n v="9225"/>
    <x v="39"/>
  </r>
  <r>
    <x v="41"/>
    <s v="3685 Morningview Lane, New York NY 10013"/>
    <s v="Lawson Moore"/>
    <s v="(711) 426-7350"/>
    <x v="0"/>
    <s v="Yes"/>
    <s v="Yes"/>
    <s v="Yes"/>
    <x v="1"/>
    <x v="1"/>
    <x v="0"/>
    <x v="1"/>
    <x v="41"/>
    <n v="3804"/>
    <n v="4121"/>
    <n v="6210"/>
    <n v="6909"/>
    <x v="40"/>
  </r>
  <r>
    <x v="42"/>
    <s v="5 Tallwood St, Brooklyn NY 11233"/>
    <s v="Kari Lenz"/>
    <s v="(886) 554-5339"/>
    <x v="1"/>
    <s v="Yes"/>
    <s v="Yes"/>
    <s v="No"/>
    <x v="1"/>
    <x v="0"/>
    <x v="2"/>
    <x v="0"/>
    <x v="42"/>
    <n v="2415"/>
    <n v="3461"/>
    <n v="3850"/>
    <n v="4657"/>
    <x v="41"/>
  </r>
  <r>
    <x v="43"/>
    <s v="805 South Pilgrim Court, Brooklyn NY 11225"/>
    <s v="Javier George"/>
    <s v="(964) 214-3742"/>
    <x v="1"/>
    <s v="Yes"/>
    <s v="Yes"/>
    <s v="No"/>
    <x v="1"/>
    <x v="0"/>
    <x v="2"/>
    <x v="0"/>
    <x v="43"/>
    <n v="4218"/>
    <n v="5072"/>
    <n v="5201"/>
    <n v="7588"/>
    <x v="42"/>
  </r>
  <r>
    <x v="44"/>
    <s v="7223 Cedarwood Ave, Brooklyn NY 11221"/>
    <s v="Janie Roberson"/>
    <s v="(924) 516-6566"/>
    <x v="2"/>
    <s v="Yes"/>
    <s v="Yes"/>
    <s v="Yes"/>
    <x v="1"/>
    <x v="0"/>
    <x v="0"/>
    <x v="1"/>
    <x v="44"/>
    <n v="8484"/>
    <n v="7883"/>
    <n v="7499"/>
    <n v="6592"/>
    <x v="43"/>
  </r>
  <r>
    <x v="45"/>
    <s v="62 Lower River Road, Staten Island, NY 10306"/>
    <s v="Debra Martin"/>
    <s v="(743) 960-6716"/>
    <x v="1"/>
    <s v="Yes"/>
    <s v="Yes"/>
    <s v="No"/>
    <x v="1"/>
    <x v="0"/>
    <x v="2"/>
    <x v="0"/>
    <x v="45"/>
    <n v="6227"/>
    <n v="5123"/>
    <n v="4968"/>
    <n v="3857"/>
    <x v="44"/>
  </r>
  <r>
    <x v="46"/>
    <s v="8680 Alderwood St, New York NY 10032"/>
    <s v="Henry Lange"/>
    <s v="(293) 473-1512"/>
    <x v="3"/>
    <s v="Yes"/>
    <s v="Yes"/>
    <s v="No"/>
    <x v="1"/>
    <x v="0"/>
    <x v="0"/>
    <x v="0"/>
    <x v="46"/>
    <n v="9610"/>
    <n v="7534"/>
    <n v="5080"/>
    <n v="4936"/>
    <x v="45"/>
  </r>
  <r>
    <x v="47"/>
    <s v="424 Hall Ave, New York NY 10128"/>
    <s v="Annie Fuentes"/>
    <s v="(462) 693-6254"/>
    <x v="2"/>
    <s v="Yes"/>
    <s v="Yes"/>
    <s v="No"/>
    <x v="1"/>
    <x v="0"/>
    <x v="2"/>
    <x v="0"/>
    <x v="47"/>
    <n v="5952"/>
    <n v="5914"/>
    <n v="5405"/>
    <n v="4031"/>
    <x v="46"/>
  </r>
  <r>
    <x v="48"/>
    <s v="3 Warren Drive, New York NY 10040"/>
    <s v="Julie Ross"/>
    <s v="(778) 387-0744"/>
    <x v="1"/>
    <s v="Yes"/>
    <s v="Yes"/>
    <s v="No"/>
    <x v="1"/>
    <x v="0"/>
    <x v="2"/>
    <x v="0"/>
    <x v="48"/>
    <n v="9179"/>
    <n v="8390"/>
    <n v="8256"/>
    <n v="3815"/>
    <x v="47"/>
  </r>
  <r>
    <x v="49"/>
    <s v="8083 8th St, Brooklyn NY 11209"/>
    <s v="Russell Wallace"/>
    <s v="(237) 890-0247"/>
    <x v="3"/>
    <s v="Yes"/>
    <s v="No"/>
    <s v="No"/>
    <x v="1"/>
    <x v="0"/>
    <x v="2"/>
    <x v="0"/>
    <x v="49"/>
    <n v="6541"/>
    <n v="3311"/>
    <n v="3254"/>
    <n v="2687"/>
    <x v="48"/>
  </r>
  <r>
    <x v="50"/>
    <s v="44 W. Pheasant Street, Brooklyn NY 11233"/>
    <s v="Gary Brown"/>
    <s v="(459) 968-9453"/>
    <x v="0"/>
    <s v="Yes"/>
    <s v="No"/>
    <s v="No"/>
    <x v="1"/>
    <x v="0"/>
    <x v="2"/>
    <x v="0"/>
    <x v="50"/>
    <n v="6551"/>
    <n v="5188"/>
    <n v="3436"/>
    <n v="2359"/>
    <x v="49"/>
  </r>
  <r>
    <x v="51"/>
    <s v="267 Third Road, New York NY 10034"/>
    <s v="Velma Riley"/>
    <s v="(697) 543-0310"/>
    <x v="0"/>
    <s v="Yes"/>
    <s v="No"/>
    <s v="No"/>
    <x v="1"/>
    <x v="0"/>
    <x v="0"/>
    <x v="0"/>
    <x v="51"/>
    <n v="8049"/>
    <n v="5556"/>
    <n v="5202"/>
    <n v="2373"/>
    <x v="50"/>
  </r>
  <r>
    <x v="52"/>
    <s v="601 Bank Ave, Brooklyn NY 11218"/>
    <s v="Teresa Vasbinder"/>
    <s v="(261) 690-0303"/>
    <x v="3"/>
    <s v="Yes"/>
    <s v="No"/>
    <s v="No"/>
    <x v="1"/>
    <x v="0"/>
    <x v="0"/>
    <x v="0"/>
    <x v="52"/>
    <n v="4079"/>
    <n v="2797"/>
    <n v="2245"/>
    <n v="1696"/>
    <x v="51"/>
  </r>
  <r>
    <x v="53"/>
    <s v="9453 N. Wagon Lane, Brooklyn NY 11237"/>
    <s v="Kurt Issacs"/>
    <s v="(454) 903-5770"/>
    <x v="2"/>
    <s v="Yes"/>
    <s v="No"/>
    <s v="No"/>
    <x v="1"/>
    <x v="0"/>
    <x v="0"/>
    <x v="1"/>
    <x v="53"/>
    <n v="6957"/>
    <n v="3898"/>
    <n v="1857"/>
    <n v="1512"/>
    <x v="52"/>
  </r>
  <r>
    <x v="54"/>
    <s v="12 Lees Creek St, Brooklyn NY 11211"/>
    <s v="Rita Varga"/>
    <s v="(754) 696-3109"/>
    <x v="1"/>
    <s v="Yes"/>
    <s v="No"/>
    <s v="No"/>
    <x v="1"/>
    <x v="1"/>
    <x v="2"/>
    <x v="0"/>
    <x v="54"/>
    <n v="6110"/>
    <n v="5791"/>
    <n v="1759"/>
    <n v="969"/>
    <x v="53"/>
  </r>
  <r>
    <x v="55"/>
    <s v="92 Princess St, New York NY 10033"/>
    <s v="Carlos Moya"/>
    <s v="(485) 453-8693"/>
    <x v="2"/>
    <s v="Yes"/>
    <s v="No"/>
    <s v="No"/>
    <x v="1"/>
    <x v="0"/>
    <x v="0"/>
    <x v="1"/>
    <x v="55"/>
    <n v="5804"/>
    <n v="4259"/>
    <n v="4243"/>
    <n v="907"/>
    <x v="54"/>
  </r>
  <r>
    <x v="56"/>
    <s v="484 Thorne St, New York NY 10128"/>
    <s v="Nina Coulter"/>
    <s v="(938) 752-9381"/>
    <x v="1"/>
    <s v="Yes"/>
    <s v="No"/>
    <s v="No"/>
    <x v="1"/>
    <x v="1"/>
    <x v="2"/>
    <x v="0"/>
    <x v="56"/>
    <n v="7667"/>
    <n v="5952"/>
    <n v="1998"/>
    <n v="375"/>
    <x v="55"/>
  </r>
  <r>
    <x v="57"/>
    <s v="44 Madison Dr, New York NY 10032"/>
    <s v="Kelly Boyd"/>
    <s v="(220) 929-0797"/>
    <x v="0"/>
    <s v="Yes"/>
    <s v="Yes"/>
    <s v="No"/>
    <x v="1"/>
    <x v="0"/>
    <x v="2"/>
    <x v="0"/>
    <x v="57"/>
    <n v="4839"/>
    <n v="4776"/>
    <n v="4024"/>
    <n v="369"/>
    <x v="56"/>
  </r>
  <r>
    <x v="58"/>
    <s v="48 Winchester Avenue, New York NY 10024"/>
    <s v="Lorena Posacco"/>
    <s v="(678) 294-8103"/>
    <x v="0"/>
    <s v="Yes"/>
    <s v="No"/>
    <s v="No"/>
    <x v="1"/>
    <x v="0"/>
    <x v="0"/>
    <x v="0"/>
    <x v="58"/>
    <n v="8499"/>
    <n v="991"/>
    <n v="448"/>
    <n v="211"/>
    <x v="57"/>
  </r>
  <r>
    <x v="59"/>
    <s v="7184 Center Court, Brooklyn NY 11208"/>
    <s v="Richard Breaux"/>
    <s v="(685) 981-8556"/>
    <x v="3"/>
    <s v="Yes"/>
    <s v="No"/>
    <s v="No"/>
    <x v="1"/>
    <x v="0"/>
    <x v="0"/>
    <x v="0"/>
    <x v="59"/>
    <n v="1245"/>
    <n v="791"/>
    <n v="338"/>
    <n v="44"/>
    <x v="5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SB 8"/>
    <s v="8735 Squaw Creek Drive, Brooklyn NY 11214"/>
    <x v="0"/>
    <s v="Juanita Wisozk"/>
    <s v="(305) 531-1310"/>
    <x v="0"/>
    <s v="Yes"/>
    <m/>
    <m/>
    <x v="0"/>
    <x v="0"/>
    <x v="0"/>
    <x v="0"/>
    <x v="0"/>
    <n v="4799"/>
    <n v="6582"/>
    <n v="9024"/>
    <n v="9759"/>
    <x v="0"/>
  </r>
  <r>
    <s v="SB 4"/>
    <s v="2930 Southern Street, New York NY 10005"/>
    <x v="1"/>
    <s v="Susana Huels"/>
    <s v="(491) 505-6064"/>
    <x v="0"/>
    <s v="Yes"/>
    <s v="Yes"/>
    <s v="Yes"/>
    <x v="0"/>
    <x v="1"/>
    <x v="0"/>
    <x v="1"/>
    <x v="1"/>
    <n v="1251"/>
    <n v="2897"/>
    <n v="4499"/>
    <n v="9428"/>
    <x v="0"/>
  </r>
  <r>
    <s v="SB 13"/>
    <s v="9575 Shipley Court, Brooklyn NY 11201"/>
    <x v="0"/>
    <s v="Tim Young"/>
    <s v="(876) 653-1727"/>
    <x v="0"/>
    <s v="Yes"/>
    <m/>
    <m/>
    <x v="0"/>
    <x v="2"/>
    <x v="1"/>
    <x v="1"/>
    <x v="2"/>
    <n v="1797"/>
    <n v="3548"/>
    <n v="3668"/>
    <n v="8592"/>
    <x v="1"/>
  </r>
  <r>
    <s v="MB 5"/>
    <s v="402 Bridgeton Lane, Bronx NY 10468"/>
    <x v="2"/>
    <s v="Bill Callahan"/>
    <s v="(617) 419-7996"/>
    <x v="1"/>
    <s v="Yes"/>
    <s v="Yes"/>
    <s v="No"/>
    <x v="0"/>
    <x v="0"/>
    <x v="0"/>
    <x v="0"/>
    <x v="3"/>
    <n v="3485"/>
    <n v="4592"/>
    <n v="5143"/>
    <n v="8100"/>
    <x v="2"/>
  </r>
  <r>
    <s v="OR 2"/>
    <s v="7061 Bishop St, Yonkers NY 10701"/>
    <x v="3"/>
    <s v="Raymond Heywin"/>
    <s v="(571) 843-1746"/>
    <x v="2"/>
    <s v="Yes"/>
    <s v="Yes"/>
    <s v="Yes"/>
    <x v="0"/>
    <x v="1"/>
    <x v="0"/>
    <x v="0"/>
    <x v="4"/>
    <n v="286"/>
    <n v="6750"/>
    <n v="8254"/>
    <n v="8656"/>
    <x v="3"/>
  </r>
  <r>
    <s v="WD 11"/>
    <s v="419 E. Henry Ave, New York NY 10031"/>
    <x v="1"/>
    <s v="Carlos Jackson"/>
    <s v="(201) 363-0653"/>
    <x v="3"/>
    <s v="Yes"/>
    <s v="Yes"/>
    <s v="Yes"/>
    <x v="1"/>
    <x v="0"/>
    <x v="0"/>
    <x v="0"/>
    <x v="5"/>
    <n v="416"/>
    <n v="747"/>
    <n v="1028"/>
    <n v="6357"/>
    <x v="4"/>
  </r>
  <r>
    <s v="MB 12"/>
    <s v="240 W. Manhattan St, Bronx NY 10462"/>
    <x v="2"/>
    <s v="Mel Berkowitz"/>
    <s v="(967) 547-1542"/>
    <x v="1"/>
    <s v="Yes"/>
    <s v="Yes"/>
    <s v="No"/>
    <x v="0"/>
    <x v="1"/>
    <x v="0"/>
    <x v="0"/>
    <x v="6"/>
    <n v="621"/>
    <n v="3098"/>
    <n v="7118"/>
    <n v="8433"/>
    <x v="5"/>
  </r>
  <r>
    <s v="MB 6"/>
    <s v="6 E. Nichols Ave, New York NY 10027"/>
    <x v="1"/>
    <s v="Anthony Brooks"/>
    <s v="(349) 801-7566"/>
    <x v="1"/>
    <s v="Yes"/>
    <s v="Yes"/>
    <s v="No"/>
    <x v="0"/>
    <x v="0"/>
    <x v="0"/>
    <x v="0"/>
    <x v="7"/>
    <n v="1235"/>
    <n v="1822"/>
    <n v="7074"/>
    <n v="8207"/>
    <x v="6"/>
  </r>
  <r>
    <s v="WD 2"/>
    <s v="815 2nd St, New York NY 10028"/>
    <x v="1"/>
    <s v="Craig Collins"/>
    <s v="(828) 840-2736"/>
    <x v="3"/>
    <s v="Yes"/>
    <s v="Yes"/>
    <s v="Yes"/>
    <x v="1"/>
    <x v="0"/>
    <x v="0"/>
    <x v="0"/>
    <x v="8"/>
    <n v="657"/>
    <n v="6238"/>
    <n v="8922"/>
    <n v="9081"/>
    <x v="7"/>
  </r>
  <r>
    <s v="OR 10"/>
    <s v="596 Coffee St, Bronx NY 10472"/>
    <x v="2"/>
    <s v="Larry Alaimo"/>
    <s v="(242) 869-1226"/>
    <x v="2"/>
    <s v="Yes"/>
    <s v="Yes"/>
    <s v="Yes"/>
    <x v="0"/>
    <x v="1"/>
    <x v="0"/>
    <x v="1"/>
    <x v="9"/>
    <n v="889"/>
    <n v="4373"/>
    <n v="6803"/>
    <n v="7578"/>
    <x v="8"/>
  </r>
  <r>
    <s v="OR 15"/>
    <s v="7217 Birch Hill Dr, New York NY 10009"/>
    <x v="1"/>
    <s v="Darnell Straughter"/>
    <s v="(680) 628-4625"/>
    <x v="2"/>
    <s v="Yes"/>
    <s v="Yes"/>
    <s v="Yes"/>
    <x v="0"/>
    <x v="1"/>
    <x v="2"/>
    <x v="0"/>
    <x v="10"/>
    <n v="6231"/>
    <n v="7478"/>
    <n v="8039"/>
    <n v="8271"/>
    <x v="9"/>
  </r>
  <r>
    <s v="OR 9"/>
    <s v="81 San Carlos Road, Bronx NY 10463"/>
    <x v="2"/>
    <s v="Dominique Johnson"/>
    <s v="(336) 448-7026"/>
    <x v="2"/>
    <s v="Yes"/>
    <s v="Yes"/>
    <s v="Yes"/>
    <x v="0"/>
    <x v="1"/>
    <x v="0"/>
    <x v="1"/>
    <x v="11"/>
    <n v="5535"/>
    <n v="5775"/>
    <n v="7661"/>
    <n v="9206"/>
    <x v="10"/>
  </r>
  <r>
    <s v="MB 10"/>
    <s v="267 Randall Mill Dr, New York NY 10033"/>
    <x v="1"/>
    <s v="Kathy Rogers"/>
    <s v="(939) 738-6471"/>
    <x v="1"/>
    <s v="Yes"/>
    <s v="Yes"/>
    <s v="No"/>
    <x v="0"/>
    <x v="1"/>
    <x v="0"/>
    <x v="0"/>
    <x v="12"/>
    <n v="1322"/>
    <n v="7279"/>
    <n v="8443"/>
    <n v="9571"/>
    <x v="11"/>
  </r>
  <r>
    <s v="OR 7"/>
    <s v="640 Beechwood Dr, Bronx NY 10461"/>
    <x v="2"/>
    <s v="Juan Scott"/>
    <s v="(357) 532-0838"/>
    <x v="2"/>
    <s v="Yes"/>
    <s v="Yes"/>
    <s v="Yes"/>
    <x v="0"/>
    <x v="1"/>
    <x v="0"/>
    <x v="1"/>
    <x v="13"/>
    <n v="3751"/>
    <n v="4423"/>
    <n v="8733"/>
    <n v="9909"/>
    <x v="12"/>
  </r>
  <r>
    <s v="MB 3"/>
    <s v="9132 Redwood Rd, Bronx NY 10466"/>
    <x v="2"/>
    <s v="Christopher Evans"/>
    <s v="(831) 406-6300"/>
    <x v="1"/>
    <s v="Yes"/>
    <s v="Yes"/>
    <s v="No"/>
    <x v="0"/>
    <x v="0"/>
    <x v="0"/>
    <x v="0"/>
    <x v="14"/>
    <n v="5721"/>
    <n v="6247"/>
    <n v="8495"/>
    <n v="9236"/>
    <x v="13"/>
  </r>
  <r>
    <s v="MB 14"/>
    <s v="48 S. Brandywine St, New York NY 10002"/>
    <x v="1"/>
    <s v="Deshaun Fletcher"/>
    <s v="(845) 304-6511"/>
    <x v="1"/>
    <s v="Yes"/>
    <s v="Yes"/>
    <s v="No"/>
    <x v="0"/>
    <x v="0"/>
    <x v="0"/>
    <x v="0"/>
    <x v="15"/>
    <n v="4182"/>
    <n v="6087"/>
    <n v="7494"/>
    <n v="8599"/>
    <x v="14"/>
  </r>
  <r>
    <s v="WD 5"/>
    <s v="21 Yukon St, Bronx NY 10451"/>
    <x v="2"/>
    <s v="Andre Mobley"/>
    <s v="(597) 701-9429"/>
    <x v="3"/>
    <s v="Yes"/>
    <s v="Yes"/>
    <s v="Yes"/>
    <x v="1"/>
    <x v="0"/>
    <x v="0"/>
    <x v="0"/>
    <x v="16"/>
    <n v="2428"/>
    <n v="7386"/>
    <n v="8835"/>
    <n v="9766"/>
    <x v="15"/>
  </r>
  <r>
    <s v="SB 14"/>
    <s v="8156 Lake View Street, New York, NY 10025"/>
    <x v="1"/>
    <s v="Debra Kroll"/>
    <s v="(628) 832-4986"/>
    <x v="0"/>
    <s v="Yes"/>
    <s v="Yes"/>
    <s v="Yes"/>
    <x v="0"/>
    <x v="1"/>
    <x v="0"/>
    <x v="1"/>
    <x v="17"/>
    <n v="1314"/>
    <n v="1810"/>
    <n v="6510"/>
    <n v="9271"/>
    <x v="16"/>
  </r>
  <r>
    <s v="OR 12"/>
    <s v="9151 River St, Brooklyn NY 11230"/>
    <x v="0"/>
    <s v="Shaun Salvatore"/>
    <s v="(691) 657-1498"/>
    <x v="2"/>
    <s v="Yes"/>
    <s v="Yes"/>
    <s v="Yes"/>
    <x v="0"/>
    <x v="1"/>
    <x v="0"/>
    <x v="1"/>
    <x v="18"/>
    <n v="3615"/>
    <n v="3712"/>
    <n v="5819"/>
    <n v="9589"/>
    <x v="17"/>
  </r>
  <r>
    <s v="WD 10"/>
    <s v="9760 Taylor Dr, Brooklyn NY 11211"/>
    <x v="0"/>
    <s v="Joe Schimke"/>
    <s v="(936) 816-9148"/>
    <x v="3"/>
    <s v="Yes"/>
    <s v="No"/>
    <s v="No"/>
    <x v="1"/>
    <x v="0"/>
    <x v="0"/>
    <x v="0"/>
    <x v="19"/>
    <n v="2628"/>
    <n v="3612"/>
    <n v="5066"/>
    <n v="5156"/>
    <x v="18"/>
  </r>
  <r>
    <s v="OR 5"/>
    <s v="7839 Elm St, Staten Island NY 10306"/>
    <x v="4"/>
    <s v="Lee Niemeyer"/>
    <s v="(920) 451-3973"/>
    <x v="2"/>
    <s v="Yes"/>
    <s v="Yes"/>
    <s v="Yes"/>
    <x v="0"/>
    <x v="1"/>
    <x v="0"/>
    <x v="1"/>
    <x v="20"/>
    <n v="3140"/>
    <n v="4123"/>
    <n v="4366"/>
    <n v="9482"/>
    <x v="19"/>
  </r>
  <r>
    <s v="WD 7"/>
    <s v="65 Lower River Ave, Bronx NY 10465"/>
    <x v="2"/>
    <s v="Thomas Stewart"/>
    <s v="(381) 643-1230"/>
    <x v="3"/>
    <s v="Yes"/>
    <s v="Yes"/>
    <s v="Yes"/>
    <x v="1"/>
    <x v="0"/>
    <x v="0"/>
    <x v="0"/>
    <x v="21"/>
    <n v="3353"/>
    <n v="6351"/>
    <n v="8550"/>
    <n v="9272"/>
    <x v="20"/>
  </r>
  <r>
    <s v="SB 3"/>
    <s v="2285 Ladybug Drive, New York NY 10013"/>
    <x v="1"/>
    <s v="Vin Hudson"/>
    <s v="(952) 952-5573"/>
    <x v="0"/>
    <s v="Yes"/>
    <s v="Yes"/>
    <s v="Yes"/>
    <x v="0"/>
    <x v="1"/>
    <x v="0"/>
    <x v="1"/>
    <x v="22"/>
    <n v="1534"/>
    <n v="1634"/>
    <n v="4302"/>
    <n v="9768"/>
    <x v="21"/>
  </r>
  <r>
    <s v="WD 13"/>
    <s v="2 Rock Maple Ave, New York NY 10029"/>
    <x v="1"/>
    <s v="Shameka West"/>
    <s v="(488) 656-0761"/>
    <x v="3"/>
    <s v="Yes"/>
    <s v="Yes"/>
    <s v="Yes"/>
    <x v="1"/>
    <x v="0"/>
    <x v="2"/>
    <x v="0"/>
    <x v="23"/>
    <n v="2517"/>
    <n v="8042"/>
    <n v="8222"/>
    <n v="9686"/>
    <x v="22"/>
  </r>
  <r>
    <s v="WD 15"/>
    <s v="174 Del Monte St, Brooklyn NY 11224"/>
    <x v="0"/>
    <s v="Anna Grey"/>
    <s v="(980) 437-1451"/>
    <x v="3"/>
    <s v="Yes"/>
    <s v="Yes"/>
    <s v="Yes"/>
    <x v="1"/>
    <x v="0"/>
    <x v="2"/>
    <x v="0"/>
    <x v="24"/>
    <n v="2254"/>
    <n v="4534"/>
    <n v="6796"/>
    <n v="7730"/>
    <x v="23"/>
  </r>
  <r>
    <s v="MB 7"/>
    <s v="323 North Edgewood St, Bronx NY 10457"/>
    <x v="2"/>
    <s v="Charlotte Leroux"/>
    <s v="(784) 634-6873"/>
    <x v="1"/>
    <s v="Yes"/>
    <s v="Yes"/>
    <s v="No"/>
    <x v="0"/>
    <x v="0"/>
    <x v="0"/>
    <x v="0"/>
    <x v="25"/>
    <n v="3447"/>
    <n v="4535"/>
    <n v="5476"/>
    <n v="9983"/>
    <x v="24"/>
  </r>
  <r>
    <s v="WD 9"/>
    <s v="8388 Gonzales St, Brooklyn NY 11228"/>
    <x v="0"/>
    <s v="Danielle Tomas"/>
    <s v="(459) 261-2301"/>
    <x v="3"/>
    <s v="Yes"/>
    <s v="Yes"/>
    <s v="Yes"/>
    <x v="1"/>
    <x v="0"/>
    <x v="0"/>
    <x v="0"/>
    <x v="26"/>
    <n v="4189"/>
    <n v="5407"/>
    <n v="6233"/>
    <n v="9681"/>
    <x v="25"/>
  </r>
  <r>
    <s v="OR 14"/>
    <s v="81 Crescent St, Brooklyn NY 11210"/>
    <x v="0"/>
    <s v="Maria Sawyer"/>
    <s v="(881) 243-5276"/>
    <x v="2"/>
    <s v="Yes"/>
    <s v="Yes"/>
    <s v="Yes"/>
    <x v="0"/>
    <x v="0"/>
    <x v="2"/>
    <x v="0"/>
    <x v="27"/>
    <n v="4033"/>
    <n v="6956"/>
    <n v="7929"/>
    <n v="8834"/>
    <x v="26"/>
  </r>
  <r>
    <s v="WD 6"/>
    <s v="18 N. Woodland Ave, New York NY 10025"/>
    <x v="1"/>
    <s v="Ray Hernandez"/>
    <s v="(609) 345-8163"/>
    <x v="3"/>
    <s v="Yes"/>
    <s v="Yes"/>
    <s v="Yes"/>
    <x v="1"/>
    <x v="0"/>
    <x v="0"/>
    <x v="0"/>
    <x v="28"/>
    <n v="1768"/>
    <n v="2804"/>
    <n v="5718"/>
    <n v="9822"/>
    <x v="27"/>
  </r>
  <r>
    <s v="WD 14"/>
    <s v="9577 Nicolls Ave, Staten Island NY 10312"/>
    <x v="4"/>
    <s v="Kevin Fleming"/>
    <s v="(650) 848-8284"/>
    <x v="3"/>
    <s v="Yes"/>
    <s v="Yes"/>
    <s v="Yes"/>
    <x v="1"/>
    <x v="0"/>
    <x v="2"/>
    <x v="0"/>
    <x v="29"/>
    <n v="3919"/>
    <n v="4466"/>
    <n v="5568"/>
    <n v="6476"/>
    <x v="28"/>
  </r>
  <r>
    <s v="WD 3"/>
    <s v="9875 Franklin Rd, Brooklyn NY 11223"/>
    <x v="0"/>
    <s v="Donna Lam"/>
    <s v="(931) 618-9558"/>
    <x v="3"/>
    <s v="Yes"/>
    <s v="Yes"/>
    <s v="Yes"/>
    <x v="1"/>
    <x v="0"/>
    <x v="0"/>
    <x v="0"/>
    <x v="30"/>
    <n v="4963"/>
    <n v="6292"/>
    <n v="6728"/>
    <n v="8202"/>
    <x v="29"/>
  </r>
  <r>
    <s v="MB 9"/>
    <s v="861 Gonzales Lane, Bronx NY 10472"/>
    <x v="2"/>
    <s v="Mia Ang"/>
    <s v="(253) 861-1301"/>
    <x v="1"/>
    <s v="Yes"/>
    <s v="Yes"/>
    <s v="No"/>
    <x v="0"/>
    <x v="1"/>
    <x v="0"/>
    <x v="0"/>
    <x v="31"/>
    <n v="2124"/>
    <n v="2844"/>
    <n v="6877"/>
    <n v="9570"/>
    <x v="30"/>
  </r>
  <r>
    <s v="SB 1"/>
    <s v="2131 Patterson Road, Brooklyn NY 11201"/>
    <x v="0"/>
    <s v="Dorothy Rizzo"/>
    <s v="(880) 283-6803"/>
    <x v="0"/>
    <s v="Yes"/>
    <s v="Yes"/>
    <s v="Yes"/>
    <x v="0"/>
    <x v="1"/>
    <x v="0"/>
    <x v="1"/>
    <x v="32"/>
    <n v="5388"/>
    <n v="7063"/>
    <n v="7208"/>
    <n v="9093"/>
    <x v="31"/>
  </r>
  <r>
    <s v="SB 5"/>
    <s v="2807 Geraldine Lane, New York NY 10004"/>
    <x v="1"/>
    <s v="Shanna Hettinger"/>
    <s v="(412) 570-0596"/>
    <x v="0"/>
    <s v="Yes"/>
    <s v="Yes"/>
    <s v="No"/>
    <x v="0"/>
    <x v="1"/>
    <x v="0"/>
    <x v="1"/>
    <x v="33"/>
    <n v="1893"/>
    <n v="2722"/>
    <n v="4410"/>
    <n v="5873"/>
    <x v="32"/>
  </r>
  <r>
    <s v="SB 10"/>
    <s v="102 Coffee Court, Bronx NY 10461"/>
    <x v="2"/>
    <s v="Holly Gaines"/>
    <s v="(277) 456-4626"/>
    <x v="0"/>
    <s v="Yes"/>
    <s v="Yes"/>
    <s v="No"/>
    <x v="0"/>
    <x v="0"/>
    <x v="0"/>
    <x v="0"/>
    <x v="34"/>
    <n v="1620"/>
    <n v="2027"/>
    <n v="4881"/>
    <n v="6002"/>
    <x v="33"/>
  </r>
  <r>
    <s v="SB 6"/>
    <s v="7778 Cherry Road, Bronx NY 10467"/>
    <x v="2"/>
    <s v="Roy McGlynn"/>
    <s v="(594) 807-4187"/>
    <x v="0"/>
    <s v="Yes"/>
    <s v="Yes"/>
    <s v="Yes"/>
    <x v="1"/>
    <x v="1"/>
    <x v="0"/>
    <x v="0"/>
    <x v="35"/>
    <n v="6105"/>
    <n v="7777"/>
    <n v="7891"/>
    <n v="8758"/>
    <x v="34"/>
  </r>
  <r>
    <s v="OR 6"/>
    <s v="429 Stonybrook Dr, Brooklyn NY 11203"/>
    <x v="0"/>
    <s v="Stephen Harris"/>
    <s v="(258) 948-7479"/>
    <x v="2"/>
    <s v="Yes"/>
    <s v="Yes"/>
    <s v="Yes"/>
    <x v="1"/>
    <x v="0"/>
    <x v="0"/>
    <x v="1"/>
    <x v="36"/>
    <n v="3794"/>
    <n v="3984"/>
    <n v="8803"/>
    <n v="9338"/>
    <x v="35"/>
  </r>
  <r>
    <s v="SB 12"/>
    <s v="7488 N. Marconi Ave, Brooklyn NY 11237"/>
    <x v="0"/>
    <s v="Jeffrey Akins"/>
    <s v="(313) 417-8968"/>
    <x v="0"/>
    <s v="Yes"/>
    <s v="No"/>
    <s v="No"/>
    <x v="1"/>
    <x v="0"/>
    <x v="2"/>
    <x v="0"/>
    <x v="37"/>
    <n v="2678"/>
    <n v="4068"/>
    <n v="4278"/>
    <n v="5382"/>
    <x v="36"/>
  </r>
  <r>
    <s v="OR 1"/>
    <s v="77 Stillwater St, Brooklyn NY 11213"/>
    <x v="0"/>
    <s v="John Mackey"/>
    <s v="(831) 581-1892"/>
    <x v="2"/>
    <s v="Yes"/>
    <s v="Yes"/>
    <s v="Yes"/>
    <x v="1"/>
    <x v="0"/>
    <x v="0"/>
    <x v="0"/>
    <x v="38"/>
    <n v="3938"/>
    <n v="5190"/>
    <n v="8203"/>
    <n v="8780"/>
    <x v="37"/>
  </r>
  <r>
    <s v="OR 4"/>
    <s v="62 Lafayette Ave, Bronx NY 10462"/>
    <x v="2"/>
    <s v="Brooke Hayes"/>
    <s v="(247) 999-3394"/>
    <x v="2"/>
    <s v="Yes"/>
    <s v="Yes"/>
    <s v="Yes"/>
    <x v="1"/>
    <x v="0"/>
    <x v="0"/>
    <x v="1"/>
    <x v="39"/>
    <n v="4866"/>
    <n v="4928"/>
    <n v="8451"/>
    <n v="9585"/>
    <x v="38"/>
  </r>
  <r>
    <s v="MB 1"/>
    <s v="9848 Linden St, New York NY 10011"/>
    <x v="1"/>
    <s v="Dan Hill"/>
    <s v="(248) 450-0797"/>
    <x v="1"/>
    <s v="Yes"/>
    <s v="Yes"/>
    <s v="No"/>
    <x v="1"/>
    <x v="0"/>
    <x v="2"/>
    <x v="0"/>
    <x v="40"/>
    <n v="7079"/>
    <n v="7438"/>
    <n v="7443"/>
    <n v="9225"/>
    <x v="39"/>
  </r>
  <r>
    <s v="SB 2"/>
    <s v="3685 Morningview Lane, New York NY 10013"/>
    <x v="1"/>
    <s v="Lawson Moore"/>
    <s v="(711) 426-7350"/>
    <x v="0"/>
    <s v="Yes"/>
    <s v="Yes"/>
    <s v="Yes"/>
    <x v="1"/>
    <x v="1"/>
    <x v="0"/>
    <x v="1"/>
    <x v="41"/>
    <n v="3804"/>
    <n v="4121"/>
    <n v="6210"/>
    <n v="6909"/>
    <x v="40"/>
  </r>
  <r>
    <s v="MB 15"/>
    <s v="5 Tallwood St, Brooklyn NY 11233"/>
    <x v="0"/>
    <s v="Kari Lenz"/>
    <s v="(886) 554-5339"/>
    <x v="1"/>
    <s v="Yes"/>
    <s v="Yes"/>
    <s v="No"/>
    <x v="1"/>
    <x v="0"/>
    <x v="2"/>
    <x v="0"/>
    <x v="42"/>
    <n v="2415"/>
    <n v="3461"/>
    <n v="3850"/>
    <n v="4657"/>
    <x v="41"/>
  </r>
  <r>
    <s v="MB 2"/>
    <s v="805 South Pilgrim Court, Brooklyn NY 11225"/>
    <x v="0"/>
    <s v="Javier George"/>
    <s v="(964) 214-3742"/>
    <x v="1"/>
    <s v="Yes"/>
    <s v="Yes"/>
    <s v="No"/>
    <x v="1"/>
    <x v="0"/>
    <x v="2"/>
    <x v="0"/>
    <x v="43"/>
    <n v="4218"/>
    <n v="5072"/>
    <n v="5201"/>
    <n v="7588"/>
    <x v="42"/>
  </r>
  <r>
    <s v="OR 3"/>
    <s v="7223 Cedarwood Ave, Brooklyn NY 11221"/>
    <x v="0"/>
    <s v="Janie Roberson"/>
    <s v="(924) 516-6566"/>
    <x v="2"/>
    <s v="Yes"/>
    <s v="Yes"/>
    <s v="Yes"/>
    <x v="1"/>
    <x v="0"/>
    <x v="0"/>
    <x v="1"/>
    <x v="44"/>
    <n v="8484"/>
    <n v="7883"/>
    <n v="7499"/>
    <n v="6592"/>
    <x v="43"/>
  </r>
  <r>
    <s v="MB 13"/>
    <s v="62 Lower River Road, Staten Island, NY 10306"/>
    <x v="4"/>
    <s v="Debra Martin"/>
    <s v="(743) 960-6716"/>
    <x v="1"/>
    <s v="Yes"/>
    <s v="Yes"/>
    <s v="No"/>
    <x v="1"/>
    <x v="0"/>
    <x v="2"/>
    <x v="0"/>
    <x v="45"/>
    <n v="6227"/>
    <n v="5123"/>
    <n v="4968"/>
    <n v="3857"/>
    <x v="44"/>
  </r>
  <r>
    <s v="WD 8"/>
    <s v="8680 Alderwood St, New York NY 10032"/>
    <x v="1"/>
    <s v="Henry Lange"/>
    <s v="(293) 473-1512"/>
    <x v="3"/>
    <s v="Yes"/>
    <s v="Yes"/>
    <s v="No"/>
    <x v="1"/>
    <x v="0"/>
    <x v="0"/>
    <x v="0"/>
    <x v="46"/>
    <n v="9610"/>
    <n v="7534"/>
    <n v="5080"/>
    <n v="4936"/>
    <x v="45"/>
  </r>
  <r>
    <s v="OR 13"/>
    <s v="424 Hall Ave, New York NY 10128"/>
    <x v="1"/>
    <s v="Annie Fuentes"/>
    <s v="(462) 693-6254"/>
    <x v="2"/>
    <s v="Yes"/>
    <s v="Yes"/>
    <s v="No"/>
    <x v="1"/>
    <x v="0"/>
    <x v="2"/>
    <x v="0"/>
    <x v="47"/>
    <n v="5952"/>
    <n v="5914"/>
    <n v="5405"/>
    <n v="4031"/>
    <x v="46"/>
  </r>
  <r>
    <s v="MB 4"/>
    <s v="3 Warren Drive, New York NY 10040"/>
    <x v="1"/>
    <s v="Julie Ross"/>
    <s v="(778) 387-0744"/>
    <x v="1"/>
    <s v="Yes"/>
    <s v="Yes"/>
    <s v="No"/>
    <x v="1"/>
    <x v="0"/>
    <x v="2"/>
    <x v="0"/>
    <x v="48"/>
    <n v="9179"/>
    <n v="8390"/>
    <n v="8256"/>
    <n v="3815"/>
    <x v="47"/>
  </r>
  <r>
    <s v="WD 12"/>
    <s v="8083 8th St, Brooklyn NY 11209"/>
    <x v="0"/>
    <s v="Russell Wallace"/>
    <s v="(237) 890-0247"/>
    <x v="3"/>
    <s v="Yes"/>
    <s v="No"/>
    <s v="No"/>
    <x v="1"/>
    <x v="0"/>
    <x v="2"/>
    <x v="0"/>
    <x v="49"/>
    <n v="6541"/>
    <n v="3311"/>
    <n v="3254"/>
    <n v="2687"/>
    <x v="48"/>
  </r>
  <r>
    <s v="SB 11"/>
    <s v="44 W. Pheasant Street, Brooklyn NY 11233"/>
    <x v="0"/>
    <s v="Gary Brown"/>
    <s v="(459) 968-9453"/>
    <x v="0"/>
    <s v="Yes"/>
    <s v="No"/>
    <s v="No"/>
    <x v="1"/>
    <x v="0"/>
    <x v="2"/>
    <x v="0"/>
    <x v="50"/>
    <n v="6551"/>
    <n v="5188"/>
    <n v="3436"/>
    <n v="2359"/>
    <x v="49"/>
  </r>
  <r>
    <s v="SB 9"/>
    <s v="267 Third Road, New York NY 10034"/>
    <x v="1"/>
    <s v="Velma Riley"/>
    <s v="(697) 543-0310"/>
    <x v="0"/>
    <s v="Yes"/>
    <s v="No"/>
    <s v="No"/>
    <x v="1"/>
    <x v="0"/>
    <x v="0"/>
    <x v="0"/>
    <x v="51"/>
    <n v="8049"/>
    <n v="5556"/>
    <n v="5202"/>
    <n v="2373"/>
    <x v="50"/>
  </r>
  <r>
    <s v="WD 4"/>
    <s v="601 Bank Ave, Brooklyn NY 11218"/>
    <x v="0"/>
    <s v="Teresa Vasbinder"/>
    <s v="(261) 690-0303"/>
    <x v="3"/>
    <s v="Yes"/>
    <s v="No"/>
    <s v="No"/>
    <x v="1"/>
    <x v="0"/>
    <x v="0"/>
    <x v="0"/>
    <x v="52"/>
    <n v="4079"/>
    <n v="2797"/>
    <n v="2245"/>
    <n v="1696"/>
    <x v="51"/>
  </r>
  <r>
    <s v="OR 8"/>
    <s v="9453 N. Wagon Lane, Brooklyn NY 11237"/>
    <x v="0"/>
    <s v="Kurt Issacs"/>
    <s v="(454) 903-5770"/>
    <x v="2"/>
    <s v="Yes"/>
    <s v="No"/>
    <s v="No"/>
    <x v="1"/>
    <x v="0"/>
    <x v="0"/>
    <x v="1"/>
    <x v="53"/>
    <n v="6957"/>
    <n v="3898"/>
    <n v="1857"/>
    <n v="1512"/>
    <x v="52"/>
  </r>
  <r>
    <s v="MB 11"/>
    <s v="12 Lees Creek St, Brooklyn NY 11211"/>
    <x v="0"/>
    <s v="Rita Varga"/>
    <s v="(754) 696-3109"/>
    <x v="1"/>
    <s v="Yes"/>
    <s v="No"/>
    <s v="No"/>
    <x v="1"/>
    <x v="1"/>
    <x v="2"/>
    <x v="0"/>
    <x v="54"/>
    <n v="6110"/>
    <n v="5791"/>
    <n v="1759"/>
    <n v="969"/>
    <x v="53"/>
  </r>
  <r>
    <s v="OR 11"/>
    <s v="92 Princess St, New York NY 10033"/>
    <x v="1"/>
    <s v="Carlos Moya"/>
    <s v="(485) 453-8693"/>
    <x v="2"/>
    <s v="Yes"/>
    <s v="No"/>
    <s v="No"/>
    <x v="1"/>
    <x v="0"/>
    <x v="0"/>
    <x v="1"/>
    <x v="55"/>
    <n v="5804"/>
    <n v="4259"/>
    <n v="4243"/>
    <n v="907"/>
    <x v="54"/>
  </r>
  <r>
    <s v="MB 8"/>
    <s v="484 Thorne St, New York NY 10128"/>
    <x v="1"/>
    <s v="Nina Coulter"/>
    <s v="(938) 752-9381"/>
    <x v="1"/>
    <s v="Yes"/>
    <s v="No"/>
    <s v="No"/>
    <x v="1"/>
    <x v="1"/>
    <x v="2"/>
    <x v="0"/>
    <x v="56"/>
    <n v="7667"/>
    <n v="5952"/>
    <n v="1998"/>
    <n v="375"/>
    <x v="55"/>
  </r>
  <r>
    <s v="SB 15"/>
    <s v="44 Madison Dr, New York NY 10032"/>
    <x v="1"/>
    <s v="Kelly Boyd"/>
    <s v="(220) 929-0797"/>
    <x v="0"/>
    <s v="Yes"/>
    <s v="Yes"/>
    <s v="No"/>
    <x v="1"/>
    <x v="0"/>
    <x v="2"/>
    <x v="0"/>
    <x v="57"/>
    <n v="4839"/>
    <n v="4776"/>
    <n v="4024"/>
    <n v="369"/>
    <x v="56"/>
  </r>
  <r>
    <s v="SB 7"/>
    <s v="48 Winchester Avenue, New York NY 10024"/>
    <x v="1"/>
    <s v="Lorena Posacco"/>
    <s v="(678) 294-8103"/>
    <x v="0"/>
    <s v="Yes"/>
    <s v="No"/>
    <s v="No"/>
    <x v="1"/>
    <x v="0"/>
    <x v="0"/>
    <x v="0"/>
    <x v="58"/>
    <n v="8499"/>
    <n v="991"/>
    <n v="448"/>
    <n v="211"/>
    <x v="57"/>
  </r>
  <r>
    <s v="WD 1"/>
    <s v="7184 Center Court, Brooklyn NY 11208"/>
    <x v="0"/>
    <s v="Richard Breaux"/>
    <s v="(685) 981-8556"/>
    <x v="3"/>
    <s v="Yes"/>
    <s v="No"/>
    <s v="No"/>
    <x v="1"/>
    <x v="0"/>
    <x v="0"/>
    <x v="0"/>
    <x v="59"/>
    <n v="1245"/>
    <n v="791"/>
    <n v="338"/>
    <n v="44"/>
    <x v="5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758D82-F928-4A6B-A7C5-5072F079E334}" name="PivotTable53" cacheId="7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City">
  <location ref="F78:G82" firstHeaderRow="1" firstDataRow="1" firstDataCol="1"/>
  <pivotFields count="19">
    <pivotField showAll="0"/>
    <pivotField showAll="0"/>
    <pivotField showAll="0">
      <items count="6">
        <item x="2"/>
        <item x="0"/>
        <item x="1"/>
        <item x="4"/>
        <item x="3"/>
        <item t="default"/>
      </items>
    </pivotField>
    <pivotField showAll="0"/>
    <pivotField showAll="0"/>
    <pivotField axis="axisRow" showAll="0">
      <items count="5">
        <item x="1"/>
        <item x="2"/>
        <item x="0"/>
        <item x="3"/>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dataField="1" numFmtId="9" showAll="0"/>
  </pivotFields>
  <rowFields count="1">
    <field x="5"/>
  </rowFields>
  <rowItems count="4">
    <i>
      <x/>
    </i>
    <i>
      <x v="1"/>
    </i>
    <i>
      <x v="2"/>
    </i>
    <i>
      <x v="3"/>
    </i>
  </rowItems>
  <colItems count="1">
    <i/>
  </colItems>
  <dataFields count="1">
    <dataField name="Average of 5 YR CAGR" fld="18" subtotal="average" baseField="8" baseItem="0" numFmtId="10"/>
  </dataFields>
  <chartFormats count="2">
    <chartFormat chart="3"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94A2F-6BCA-4B73-B5C1-4A37CA8E5BFB}" name="PivotTable48" cacheId="7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rowHeaderCaption="City">
  <location ref="F71:K76" firstHeaderRow="0" firstDataRow="1" firstDataCol="1"/>
  <pivotFields count="19">
    <pivotField showAll="0"/>
    <pivotField showAll="0"/>
    <pivotField axis="axisRow" showAll="0">
      <items count="6">
        <item x="2"/>
        <item x="0"/>
        <item x="1"/>
        <item x="4"/>
        <item x="3"/>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dataField="1" showAll="0"/>
    <pivotField dataField="1" showAll="0"/>
    <pivotField dataField="1" showAll="0"/>
    <pivotField dataField="1" showAll="0"/>
    <pivotField dataField="1" showAll="0"/>
    <pivotField numFmtId="9" showAll="0"/>
  </pivotFields>
  <rowFields count="1">
    <field x="2"/>
  </rowFields>
  <rowItems count="5">
    <i>
      <x/>
    </i>
    <i>
      <x v="1"/>
    </i>
    <i>
      <x v="2"/>
    </i>
    <i>
      <x v="3"/>
    </i>
    <i>
      <x v="4"/>
    </i>
  </rowItems>
  <colFields count="1">
    <field x="-2"/>
  </colFields>
  <colItems count="5">
    <i>
      <x/>
    </i>
    <i i="1">
      <x v="1"/>
    </i>
    <i i="2">
      <x v="2"/>
    </i>
    <i i="3">
      <x v="3"/>
    </i>
    <i i="4">
      <x v="4"/>
    </i>
  </colItems>
  <dataFields count="5">
    <dataField name="Sum of 2017" fld="13" baseField="0" baseItem="0"/>
    <dataField name="Sum of 2018" fld="14" baseField="0" baseItem="0"/>
    <dataField name="Sum of 2019" fld="15" baseField="0" baseItem="0"/>
    <dataField name="Sum of 2020" fld="16" baseField="0" baseItem="0"/>
    <dataField name="Sum of 2021"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1A1D2D-261D-432C-91C5-702FD21F0B78}" name="PivotTable41" cacheId="7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City">
  <location ref="B38:C43" firstHeaderRow="1" firstDataRow="1" firstDataCol="1"/>
  <pivotFields count="19">
    <pivotField showAll="0"/>
    <pivotField showAll="0"/>
    <pivotField axis="axisRow" showAll="0">
      <items count="6">
        <item x="2"/>
        <item x="0"/>
        <item x="1"/>
        <item x="4"/>
        <item x="3"/>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dataField="1" numFmtId="9" showAll="0"/>
  </pivotFields>
  <rowFields count="1">
    <field x="2"/>
  </rowFields>
  <rowItems count="5">
    <i>
      <x/>
    </i>
    <i>
      <x v="1"/>
    </i>
    <i>
      <x v="2"/>
    </i>
    <i>
      <x v="3"/>
    </i>
    <i>
      <x v="4"/>
    </i>
  </rowItems>
  <colItems count="1">
    <i/>
  </colItems>
  <dataFields count="1">
    <dataField name="Average of 5 YR CAGR" fld="18" subtotal="average" baseField="8" baseItem="0" numFmtId="10"/>
  </dataFields>
  <chartFormats count="7">
    <chartFormat chart="3" format="5" series="1">
      <pivotArea type="data" outline="0" fieldPosition="0">
        <references count="1">
          <reference field="4294967294" count="1" selected="0">
            <x v="0"/>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2" count="1" selected="0">
            <x v="0"/>
          </reference>
        </references>
      </pivotArea>
    </chartFormat>
    <chartFormat chart="7" format="9">
      <pivotArea type="data" outline="0" fieldPosition="0">
        <references count="2">
          <reference field="4294967294" count="1" selected="0">
            <x v="0"/>
          </reference>
          <reference field="2" count="1" selected="0">
            <x v="1"/>
          </reference>
        </references>
      </pivotArea>
    </chartFormat>
    <chartFormat chart="7" format="10">
      <pivotArea type="data" outline="0" fieldPosition="0">
        <references count="2">
          <reference field="4294967294" count="1" selected="0">
            <x v="0"/>
          </reference>
          <reference field="2" count="1" selected="0">
            <x v="2"/>
          </reference>
        </references>
      </pivotArea>
    </chartFormat>
    <chartFormat chart="7" format="11">
      <pivotArea type="data" outline="0" fieldPosition="0">
        <references count="2">
          <reference field="4294967294" count="1" selected="0">
            <x v="0"/>
          </reference>
          <reference field="2" count="1" selected="0">
            <x v="3"/>
          </reference>
        </references>
      </pivotArea>
    </chartFormat>
    <chartFormat chart="7" format="12">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78ABF74-A364-4188-ADFF-8002DB722D65}" name="PivotTable39" cacheId="7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F10:K69" firstHeaderRow="0" firstDataRow="1" firstDataCol="1"/>
  <pivotFields count="19">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axis="axisRow" numFmtId="9" showAll="0">
      <items count="60">
        <item x="58"/>
        <item x="57"/>
        <item x="56"/>
        <item x="55"/>
        <item x="54"/>
        <item x="53"/>
        <item x="52"/>
        <item x="51"/>
        <item x="50"/>
        <item x="49"/>
        <item x="48"/>
        <item x="47"/>
        <item x="46"/>
        <item x="45"/>
        <item x="44"/>
        <item x="43"/>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s>
  <rowFields count="1">
    <field x="18"/>
  </rowFields>
  <rowItems count="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rowItems>
  <colFields count="1">
    <field x="-2"/>
  </colFields>
  <colItems count="5">
    <i>
      <x/>
    </i>
    <i i="1">
      <x v="1"/>
    </i>
    <i i="2">
      <x v="2"/>
    </i>
    <i i="3">
      <x v="3"/>
    </i>
    <i i="4">
      <x v="4"/>
    </i>
  </colItems>
  <dataFields count="5">
    <dataField name="Sales in 2017" fld="13" baseField="0" baseItem="0"/>
    <dataField name="Sales in 2018" fld="14" baseField="0" baseItem="0"/>
    <dataField name="Sales in 2019" fld="15" baseField="0" baseItem="0"/>
    <dataField name="Sales in 2020" fld="16" baseField="0" baseItem="0"/>
    <dataField name="Sales in 2021" fld="17" baseField="0" baseItem="0"/>
  </dataFields>
  <formats count="3">
    <format dxfId="16">
      <pivotArea field="18" type="button" dataOnly="0" labelOnly="1" outline="0" axis="axisRow" fieldPosition="0"/>
    </format>
    <format dxfId="15">
      <pivotArea dataOnly="0" labelOnly="1" fieldPosition="0">
        <references count="1">
          <reference field="18"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4">
      <pivotArea dataOnly="0" labelOnly="1" fieldPosition="0">
        <references count="1">
          <reference field="18" count="9">
            <x v="50"/>
            <x v="51"/>
            <x v="52"/>
            <x v="53"/>
            <x v="54"/>
            <x v="55"/>
            <x v="56"/>
            <x v="57"/>
            <x v="58"/>
          </reference>
        </references>
      </pivotArea>
    </format>
  </formats>
  <chartFormats count="5">
    <chartFormat chart="7" format="10" series="1">
      <pivotArea type="data" outline="0" fieldPosition="0">
        <references count="1">
          <reference field="4294967294" count="1" selected="0">
            <x v="0"/>
          </reference>
        </references>
      </pivotArea>
    </chartFormat>
    <chartFormat chart="7" format="11" series="1">
      <pivotArea type="data" outline="0" fieldPosition="0">
        <references count="1">
          <reference field="4294967294" count="1" selected="0">
            <x v="1"/>
          </reference>
        </references>
      </pivotArea>
    </chartFormat>
    <chartFormat chart="7" format="12" series="1">
      <pivotArea type="data" outline="0" fieldPosition="0">
        <references count="1">
          <reference field="4294967294" count="1" selected="0">
            <x v="2"/>
          </reference>
        </references>
      </pivotArea>
    </chartFormat>
    <chartFormat chart="7" format="13" series="1">
      <pivotArea type="data" outline="0" fieldPosition="0">
        <references count="1">
          <reference field="4294967294" count="1" selected="0">
            <x v="3"/>
          </reference>
        </references>
      </pivotArea>
    </chartFormat>
    <chartFormat chart="7"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1816947-1407-4BE8-8484-F82FD0F2CC79}" name="PivotTable34" cacheId="7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B22:D24" firstHeaderRow="0" firstDataRow="1" firstDataCol="1"/>
  <pivotFields count="19">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showAll="0"/>
    <pivotField dataField="1" numFmtId="9" showAll="0"/>
  </pivotFields>
  <rowFields count="1">
    <field x="12"/>
  </rowFields>
  <rowItems count="2">
    <i>
      <x/>
    </i>
    <i>
      <x v="1"/>
    </i>
  </rowItems>
  <colFields count="1">
    <field x="-2"/>
  </colFields>
  <colItems count="2">
    <i>
      <x/>
    </i>
    <i i="1">
      <x v="1"/>
    </i>
  </colItems>
  <dataFields count="2">
    <dataField name="Count of Posters" fld="12" subtotal="count" baseField="0" baseItem="0"/>
    <dataField name="Average of 5 YR CAGR" fld="18" subtotal="average" baseField="8" baseItem="0" numFmtId="1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5810DE2-C97A-4516-B4C0-F604C68A16A9}" name="PivotTable33" cacheId="7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B14:D16" firstHeaderRow="0" firstDataRow="1" firstDataCol="1"/>
  <pivotFields count="19">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2"/>
        <item x="0"/>
        <item h="1" x="1"/>
        <item t="default"/>
      </items>
    </pivotField>
    <pivotField showAll="0"/>
    <pivotField showAll="0"/>
    <pivotField showAll="0"/>
    <pivotField showAll="0"/>
    <pivotField showAll="0"/>
    <pivotField showAll="0"/>
    <pivotField dataField="1" numFmtId="9" showAll="0"/>
  </pivotFields>
  <rowFields count="1">
    <field x="11"/>
  </rowFields>
  <rowItems count="2">
    <i>
      <x/>
    </i>
    <i>
      <x v="1"/>
    </i>
  </rowItems>
  <colFields count="1">
    <field x="-2"/>
  </colFields>
  <colItems count="2">
    <i>
      <x/>
    </i>
    <i i="1">
      <x v="1"/>
    </i>
  </colItems>
  <dataFields count="2">
    <dataField name="Count of Catalog Inclusion" fld="11" subtotal="count" baseField="0" baseItem="0"/>
    <dataField name="Average of 5 YR CAGR" fld="18" subtotal="average" baseField="8" baseItem="0" numFmtId="1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2D8079-5446-4A4F-8D05-9FE6E09B1CAF}" name="PivotTable32" cacheId="7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B10:D12" firstHeaderRow="0" firstDataRow="1" firstDataCol="1"/>
  <pivotFields count="19">
    <pivotField showAll="0"/>
    <pivotField showAll="0"/>
    <pivotField showAll="0"/>
    <pivotField showAll="0"/>
    <pivotField showAll="0"/>
    <pivotField showAll="0"/>
    <pivotField showAll="0"/>
    <pivotField showAll="0"/>
    <pivotField showAll="0"/>
    <pivotField axis="axisRow" dataField="1" showAll="0">
      <items count="3">
        <item x="1"/>
        <item x="0"/>
        <item t="default"/>
      </items>
    </pivotField>
    <pivotField showAll="0"/>
    <pivotField showAll="0"/>
    <pivotField showAll="0"/>
    <pivotField showAll="0"/>
    <pivotField showAll="0"/>
    <pivotField showAll="0"/>
    <pivotField showAll="0"/>
    <pivotField showAll="0"/>
    <pivotField dataField="1" numFmtId="9" showAll="0"/>
  </pivotFields>
  <rowFields count="1">
    <field x="9"/>
  </rowFields>
  <rowItems count="2">
    <i>
      <x/>
    </i>
    <i>
      <x v="1"/>
    </i>
  </rowItems>
  <colFields count="1">
    <field x="-2"/>
  </colFields>
  <colItems count="2">
    <i>
      <x/>
    </i>
    <i i="1">
      <x v="1"/>
    </i>
  </colItems>
  <dataFields count="2">
    <dataField name="Count of Social Media" fld="9" subtotal="count" baseField="0" baseItem="0"/>
    <dataField name="Average of 5 YR CAGR" fld="18" subtotal="average" baseField="8" baseItem="0" numFmtId="1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63F571F-3A1F-4ADD-8E72-A0DB312CA02E}" name="PivotTable31" cacheId="7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B18:D20" firstHeaderRow="0" firstDataRow="1" firstDataCol="1"/>
  <pivotFields count="19">
    <pivotField showAll="0"/>
    <pivotField showAll="0"/>
    <pivotField showAll="0"/>
    <pivotField showAll="0"/>
    <pivotField showAll="0"/>
    <pivotField showAll="0"/>
    <pivotField showAll="0"/>
    <pivotField showAll="0"/>
    <pivotField showAll="0"/>
    <pivotField showAll="0"/>
    <pivotField axis="axisRow" dataField="1" showAll="0">
      <items count="4">
        <item x="0"/>
        <item x="1"/>
        <item h="1" x="2"/>
        <item t="default"/>
      </items>
    </pivotField>
    <pivotField showAll="0"/>
    <pivotField showAll="0"/>
    <pivotField showAll="0"/>
    <pivotField showAll="0"/>
    <pivotField showAll="0"/>
    <pivotField showAll="0"/>
    <pivotField showAll="0"/>
    <pivotField dataField="1" numFmtId="9" showAll="0"/>
  </pivotFields>
  <rowFields count="1">
    <field x="10"/>
  </rowFields>
  <rowItems count="2">
    <i>
      <x/>
    </i>
    <i>
      <x v="1"/>
    </i>
  </rowItems>
  <colFields count="1">
    <field x="-2"/>
  </colFields>
  <colItems count="2">
    <i>
      <x/>
    </i>
    <i i="1">
      <x v="1"/>
    </i>
  </colItems>
  <dataFields count="2">
    <dataField name="Count of Coupons" fld="10" subtotal="count" baseField="0" baseItem="0"/>
    <dataField name="Average of 5 YR CAGR" fld="18" subtotal="average" baseField="8" baseItem="0" numFmtId="1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97CBCE-7C39-482F-ACA5-42B68E60536D}" name="PivotTable2" cacheId="1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B26:C36" firstHeaderRow="1" firstDataRow="1" firstDataCol="1"/>
  <pivotFields count="18">
    <pivotField axis="axisRow" showAll="0" measureFilter="1">
      <items count="61">
        <item x="40"/>
        <item x="12"/>
        <item x="54"/>
        <item x="6"/>
        <item x="45"/>
        <item x="15"/>
        <item x="42"/>
        <item x="43"/>
        <item x="14"/>
        <item x="48"/>
        <item x="3"/>
        <item x="7"/>
        <item x="25"/>
        <item x="56"/>
        <item x="31"/>
        <item x="38"/>
        <item x="9"/>
        <item x="55"/>
        <item x="18"/>
        <item x="47"/>
        <item x="27"/>
        <item x="10"/>
        <item x="4"/>
        <item x="44"/>
        <item x="39"/>
        <item x="20"/>
        <item x="36"/>
        <item x="13"/>
        <item x="53"/>
        <item x="11"/>
        <item x="32"/>
        <item x="34"/>
        <item x="50"/>
        <item x="37"/>
        <item x="2"/>
        <item x="17"/>
        <item x="57"/>
        <item x="41"/>
        <item x="22"/>
        <item x="1"/>
        <item x="33"/>
        <item x="35"/>
        <item x="58"/>
        <item x="0"/>
        <item x="51"/>
        <item x="59"/>
        <item x="19"/>
        <item x="5"/>
        <item x="49"/>
        <item x="23"/>
        <item x="29"/>
        <item x="24"/>
        <item x="8"/>
        <item x="30"/>
        <item x="52"/>
        <item x="16"/>
        <item x="28"/>
        <item x="21"/>
        <item x="46"/>
        <item x="26"/>
        <item t="default"/>
      </items>
    </pivotField>
    <pivotField showAll="0"/>
    <pivotField showAll="0"/>
    <pivotField showAll="0"/>
    <pivotField showAll="0">
      <items count="5">
        <item x="1"/>
        <item x="2"/>
        <item x="0"/>
        <item x="3"/>
        <item t="default"/>
      </items>
    </pivotField>
    <pivotField showAll="0"/>
    <pivotField showAll="0"/>
    <pivotField showAll="0"/>
    <pivotField showAll="0"/>
    <pivotField showAll="0"/>
    <pivotField showAll="0"/>
    <pivotField showAll="0"/>
    <pivotField showAll="0">
      <items count="61">
        <item x="2"/>
        <item x="3"/>
        <item x="5"/>
        <item x="4"/>
        <item x="6"/>
        <item x="7"/>
        <item x="8"/>
        <item x="9"/>
        <item x="10"/>
        <item x="11"/>
        <item x="12"/>
        <item x="19"/>
        <item x="14"/>
        <item x="15"/>
        <item x="13"/>
        <item x="17"/>
        <item x="16"/>
        <item x="1"/>
        <item x="24"/>
        <item x="29"/>
        <item x="18"/>
        <item x="21"/>
        <item x="20"/>
        <item x="22"/>
        <item x="23"/>
        <item x="27"/>
        <item x="30"/>
        <item x="26"/>
        <item x="25"/>
        <item x="33"/>
        <item x="28"/>
        <item x="34"/>
        <item x="37"/>
        <item x="0"/>
        <item x="31"/>
        <item x="32"/>
        <item x="35"/>
        <item x="42"/>
        <item x="38"/>
        <item x="36"/>
        <item x="41"/>
        <item x="39"/>
        <item x="40"/>
        <item x="43"/>
        <item x="54"/>
        <item x="45"/>
        <item x="50"/>
        <item x="53"/>
        <item x="55"/>
        <item x="49"/>
        <item x="59"/>
        <item x="56"/>
        <item x="52"/>
        <item x="44"/>
        <item x="47"/>
        <item x="57"/>
        <item x="58"/>
        <item x="51"/>
        <item x="48"/>
        <item x="46"/>
        <item t="default"/>
      </items>
    </pivotField>
    <pivotField showAll="0"/>
    <pivotField showAll="0"/>
    <pivotField showAll="0"/>
    <pivotField showAll="0"/>
    <pivotField dataField="1" showAll="0"/>
  </pivotFields>
  <rowFields count="1">
    <field x="0"/>
  </rowFields>
  <rowItems count="10">
    <i>
      <x v="3"/>
    </i>
    <i>
      <x v="10"/>
    </i>
    <i>
      <x v="11"/>
    </i>
    <i>
      <x v="16"/>
    </i>
    <i>
      <x v="21"/>
    </i>
    <i>
      <x v="22"/>
    </i>
    <i>
      <x v="29"/>
    </i>
    <i>
      <x v="34"/>
    </i>
    <i>
      <x v="47"/>
    </i>
    <i>
      <x v="52"/>
    </i>
  </rowItems>
  <colItems count="1">
    <i/>
  </colItems>
  <dataFields count="1">
    <dataField name="Sum of 5 YR CAGR" fld="17" baseField="0" baseItem="0" numFmtId="10"/>
  </dataFields>
  <chartFormats count="1">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EF68FFA-506F-43B1-8698-F116C922A636}" name="PivotTable1"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3:G8" firstHeaderRow="0" firstDataRow="1" firstDataCol="1"/>
  <pivotFields count="18">
    <pivotField showAll="0">
      <items count="61">
        <item x="40"/>
        <item x="12"/>
        <item x="54"/>
        <item x="6"/>
        <item x="45"/>
        <item x="15"/>
        <item x="42"/>
        <item x="43"/>
        <item x="14"/>
        <item x="48"/>
        <item x="3"/>
        <item x="7"/>
        <item x="25"/>
        <item x="56"/>
        <item x="31"/>
        <item x="38"/>
        <item x="9"/>
        <item x="55"/>
        <item x="18"/>
        <item x="47"/>
        <item x="27"/>
        <item x="10"/>
        <item x="4"/>
        <item x="44"/>
        <item x="39"/>
        <item x="20"/>
        <item x="36"/>
        <item x="13"/>
        <item x="53"/>
        <item x="11"/>
        <item x="32"/>
        <item x="34"/>
        <item x="50"/>
        <item x="37"/>
        <item x="2"/>
        <item x="17"/>
        <item x="57"/>
        <item x="41"/>
        <item x="22"/>
        <item x="1"/>
        <item x="33"/>
        <item x="35"/>
        <item x="58"/>
        <item x="0"/>
        <item x="51"/>
        <item x="59"/>
        <item x="19"/>
        <item x="5"/>
        <item x="49"/>
        <item x="23"/>
        <item x="29"/>
        <item x="24"/>
        <item x="8"/>
        <item x="30"/>
        <item x="52"/>
        <item x="16"/>
        <item x="28"/>
        <item x="21"/>
        <item x="46"/>
        <item x="26"/>
        <item t="default"/>
      </items>
    </pivotField>
    <pivotField showAll="0"/>
    <pivotField showAll="0"/>
    <pivotField showAll="0"/>
    <pivotField axis="axisRow" showAll="0">
      <items count="5">
        <item x="1"/>
        <item x="2"/>
        <item x="0"/>
        <item x="3"/>
        <item t="default"/>
      </items>
    </pivotField>
    <pivotField showAll="0"/>
    <pivotField showAll="0"/>
    <pivotField showAll="0"/>
    <pivotField showAll="0"/>
    <pivotField showAll="0"/>
    <pivotField showAll="0"/>
    <pivotField showAll="0"/>
    <pivotField dataField="1" showAll="0">
      <items count="61">
        <item x="2"/>
        <item x="3"/>
        <item x="5"/>
        <item x="4"/>
        <item x="6"/>
        <item x="7"/>
        <item x="8"/>
        <item x="9"/>
        <item x="10"/>
        <item x="11"/>
        <item x="12"/>
        <item x="19"/>
        <item x="14"/>
        <item x="15"/>
        <item x="13"/>
        <item x="17"/>
        <item x="16"/>
        <item x="1"/>
        <item x="24"/>
        <item x="29"/>
        <item x="18"/>
        <item x="21"/>
        <item x="20"/>
        <item x="22"/>
        <item x="23"/>
        <item x="27"/>
        <item x="30"/>
        <item x="26"/>
        <item x="25"/>
        <item x="33"/>
        <item x="28"/>
        <item x="34"/>
        <item x="37"/>
        <item x="0"/>
        <item x="31"/>
        <item x="32"/>
        <item x="35"/>
        <item x="42"/>
        <item x="38"/>
        <item x="36"/>
        <item x="41"/>
        <item x="39"/>
        <item x="40"/>
        <item x="43"/>
        <item x="54"/>
        <item x="45"/>
        <item x="50"/>
        <item x="53"/>
        <item x="55"/>
        <item x="49"/>
        <item x="59"/>
        <item x="56"/>
        <item x="52"/>
        <item x="44"/>
        <item x="47"/>
        <item x="57"/>
        <item x="58"/>
        <item x="51"/>
        <item x="48"/>
        <item x="46"/>
        <item t="default"/>
      </items>
    </pivotField>
    <pivotField dataField="1" showAll="0"/>
    <pivotField dataField="1" showAll="0"/>
    <pivotField dataField="1" showAll="0"/>
    <pivotField dataField="1" showAll="0"/>
    <pivotField showAll="0"/>
  </pivotFields>
  <rowFields count="1">
    <field x="4"/>
  </rowFields>
  <rowItems count="5">
    <i>
      <x/>
    </i>
    <i>
      <x v="1"/>
    </i>
    <i>
      <x v="2"/>
    </i>
    <i>
      <x v="3"/>
    </i>
    <i t="grand">
      <x/>
    </i>
  </rowItems>
  <colFields count="1">
    <field x="-2"/>
  </colFields>
  <colItems count="5">
    <i>
      <x/>
    </i>
    <i i="1">
      <x v="1"/>
    </i>
    <i i="2">
      <x v="2"/>
    </i>
    <i i="3">
      <x v="3"/>
    </i>
    <i i="4">
      <x v="4"/>
    </i>
  </colItems>
  <dataFields count="5">
    <dataField name="Sales in 2017" fld="12" baseField="0" baseItem="0"/>
    <dataField name="Sales in 2018" fld="13" baseField="0" baseItem="0"/>
    <dataField name="Sales in 2019" fld="14" baseField="0" baseItem="0"/>
    <dataField name="Sales in 2020" fld="15" baseField="0" baseItem="0"/>
    <dataField name="Sales in 2021" fld="16" baseField="0" baseItem="0"/>
  </dataFields>
  <chartFormats count="5">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2"/>
          </reference>
        </references>
      </pivotArea>
    </chartFormat>
    <chartFormat chart="3" format="13" series="1">
      <pivotArea type="data" outline="0" fieldPosition="0">
        <references count="1">
          <reference field="4294967294" count="1" selected="0">
            <x v="3"/>
          </reference>
        </references>
      </pivotArea>
    </chartFormat>
    <chartFormat chart="3" format="1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Type" xr10:uid="{D7449878-D6B3-45B8-927D-467EA857FEC5}" sourceName="Account Type">
  <pivotTables>
    <pivotTable tabId="2" name="PivotTable1"/>
  </pivotTables>
  <data>
    <tabular pivotCacheId="173117174">
      <items count="4">
        <i x="1" s="1"/>
        <i x="2"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Type" xr10:uid="{6A6BECD8-82C5-40CE-ABE1-31506CD60E6F}" cache="Slicer_Account_Type" caption="Account Type" columnCount="2" showCaption="0"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47D37AB-BFC1-4A29-AE66-11DD521D6406}" name="Table1" displayName="Table1" ref="A4:R64" totalsRowShown="0" headerRowDxfId="17">
  <autoFilter ref="A4:R64" xr:uid="{947D37AB-BFC1-4A29-AE66-11DD521D6406}"/>
  <sortState xmlns:xlrd2="http://schemas.microsoft.com/office/spreadsheetml/2017/richdata2" ref="A5:R64">
    <sortCondition descending="1" ref="R4:R64"/>
  </sortState>
  <tableColumns count="18">
    <tableColumn id="1" xr3:uid="{857C70FA-275B-49CC-A407-0676D85DEB3E}" name="Account Name"/>
    <tableColumn id="2" xr3:uid="{D4DDD753-8A68-4CE5-9942-F3A0E75B5D1D}" name="Account Address"/>
    <tableColumn id="3" xr3:uid="{58DDF418-8C45-4C99-A7E8-3DB623C2E770}" name="Decision Maker"/>
    <tableColumn id="4" xr3:uid="{CAEBE2A8-993F-4BFA-8C9E-4BB46DC85FF8}" name="Phone Number"/>
    <tableColumn id="5" xr3:uid="{AF81A688-91B8-4B4B-9B41-D299E6F1F279}" name="Account Type"/>
    <tableColumn id="6" xr3:uid="{7797AAFE-24CD-48B0-A71C-DEC2DC024739}" name="Product 1"/>
    <tableColumn id="7" xr3:uid="{F3CBAB21-18B8-4566-8F1F-BE0C7E16CCEB}" name="Product 2"/>
    <tableColumn id="8" xr3:uid="{B25E2E00-7023-427F-831B-8DA4FDB4FEBB}" name="Product 3"/>
    <tableColumn id="9" xr3:uid="{8C92C363-AE2B-4254-83A1-21BB7C416927}" name="Social Media"/>
    <tableColumn id="10" xr3:uid="{2297A61E-0881-40F6-82ED-06E990D8E765}" name="Coupons"/>
    <tableColumn id="11" xr3:uid="{603625D8-2E66-451A-BB4E-B6F0167887EE}" name="Catalog Inclusion"/>
    <tableColumn id="12" xr3:uid="{73EAEE04-175A-422F-936D-895416819896}" name="Posters"/>
    <tableColumn id="13" xr3:uid="{A3B93891-4D98-4125-A709-F412AB09D44E}" name="2017"/>
    <tableColumn id="14" xr3:uid="{70E21771-B34B-41CE-82D9-4E8118CCAE83}" name="2018"/>
    <tableColumn id="15" xr3:uid="{9BDA2EBE-D9F0-42C2-812A-DEB09E7F7CED}" name="2019"/>
    <tableColumn id="16" xr3:uid="{B60C251F-68A6-4F33-9153-086C8F90B272}" name="2020"/>
    <tableColumn id="17" xr3:uid="{B7B0CB89-B1DA-4E91-B816-8A7F2EB5A01C}" name="2021"/>
    <tableColumn id="18" xr3:uid="{422DA698-AE78-4E33-93BD-2C7E452D4A88}" name="5 YR CAGR" dataDxfId="18">
      <calculatedColumnFormula>_xlfn.RRI($Q$4-$M$4,M5,Q5)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700443-D499-4D31-8604-5A80A4CD4FA9}" name="Table2" displayName="Table2" ref="A4:S64" totalsRowShown="0" headerRowDxfId="13">
  <autoFilter ref="A4:S64" xr:uid="{48700443-D499-4D31-8604-5A80A4CD4FA9}"/>
  <sortState xmlns:xlrd2="http://schemas.microsoft.com/office/spreadsheetml/2017/richdata2" ref="A5:S64">
    <sortCondition descending="1" ref="S4:S64"/>
  </sortState>
  <tableColumns count="19">
    <tableColumn id="1" xr3:uid="{091975BA-155F-4C68-BA68-3913606E838D}" name="Account Name"/>
    <tableColumn id="2" xr3:uid="{1DB99E0F-7D30-44FC-B4FD-644976A4A522}" name="Account Address"/>
    <tableColumn id="27" xr3:uid="{AE997024-F03B-48CF-AC58-9F5BC9F1F744}" name="Column1"/>
    <tableColumn id="3" xr3:uid="{79BE22EE-9DBA-4891-A838-9001E19916E6}" name="Decision Maker"/>
    <tableColumn id="4" xr3:uid="{CE9F3869-5679-415B-842E-53639DF42363}" name="Phone Number"/>
    <tableColumn id="5" xr3:uid="{76F55684-D07B-4E2E-B4D1-C23F90BEA2D9}" name="Account Type"/>
    <tableColumn id="6" xr3:uid="{1DAAE2B3-15EC-4D03-B8DA-B5D04D55ED65}" name="Product 1"/>
    <tableColumn id="7" xr3:uid="{ACCC5506-DEFD-443E-B842-B93B2A149895}" name="Product 2"/>
    <tableColumn id="8" xr3:uid="{BA2B0A11-1AC3-417E-AAD3-4C865533006F}" name="Product 3"/>
    <tableColumn id="9" xr3:uid="{C35E93E7-AAA5-4CE6-A3BA-80602C53BA25}" name="Social Media"/>
    <tableColumn id="10" xr3:uid="{A28BDA57-F98D-4994-83FC-88C653AD2185}" name="Coupons"/>
    <tableColumn id="11" xr3:uid="{9551393D-6899-4B22-A170-9A126571E41C}" name="Catalog Inclusion"/>
    <tableColumn id="12" xr3:uid="{4FA2CC4A-1862-44E4-8634-777F81F558F0}" name="Posters"/>
    <tableColumn id="13" xr3:uid="{F5E68F2A-CCF1-48F5-8A4B-4107C62C6C5A}" name="2017"/>
    <tableColumn id="14" xr3:uid="{B18E7905-8AE9-4E51-A988-D4610D311C04}" name="2018"/>
    <tableColumn id="15" xr3:uid="{76CBD1FF-EF59-442A-B606-F8F8A2EA4A1D}" name="2019"/>
    <tableColumn id="16" xr3:uid="{CAC9983B-33FE-4C27-9897-3E396708684C}" name="2020"/>
    <tableColumn id="17" xr3:uid="{8305C2E3-6B46-4723-AA91-CE446DD72D30}" name="2021"/>
    <tableColumn id="18" xr3:uid="{F9409819-FE7D-49C6-B2D7-402B8DEB9FCA}" name="5 YR CAGR" dataDxfId="0">
      <calculatedColumnFormula>_xlfn.RRI($R$4-$N$4,N5,R5)</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Organic">
  <a:themeElements>
    <a:clrScheme name="Green Yellow">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rganic">
      <a:majorFont>
        <a:latin typeface="Garamond" panose="02020404030301010803"/>
        <a:ea typeface=""/>
        <a:cs typeface=""/>
        <a:font script="Jpan" typeface="ＭＳ Ｐゴシック"/>
        <a:font script="Hang" typeface="돋움"/>
        <a:font script="Hans" typeface="方正舒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Garamond" panose="02020404030301010803"/>
        <a:ea typeface=""/>
        <a:cs typeface=""/>
        <a:font script="Jpan" typeface="ＭＳ Ｐ明朝"/>
        <a:font script="Hang" typeface="바탕"/>
        <a:font script="Hans" typeface="方正舒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Organic">
      <a:fillStyleLst>
        <a:solidFill>
          <a:schemeClr val="phClr"/>
        </a:solidFill>
        <a:gradFill rotWithShape="1">
          <a:gsLst>
            <a:gs pos="0">
              <a:schemeClr val="phClr">
                <a:tint val="60000"/>
                <a:lumMod val="110000"/>
              </a:schemeClr>
            </a:gs>
            <a:gs pos="100000">
              <a:schemeClr val="phClr">
                <a:tint val="82000"/>
              </a:schemeClr>
            </a:gs>
          </a:gsLst>
          <a:lin ang="5400000" scaled="0"/>
        </a:gradFill>
        <a:blipFill>
          <a:blip xmlns:r="http://schemas.openxmlformats.org/officeDocument/2006/relationships" r:embed="rId1">
            <a:duotone>
              <a:schemeClr val="phClr">
                <a:shade val="74000"/>
                <a:satMod val="130000"/>
                <a:lumMod val="90000"/>
              </a:schemeClr>
              <a:schemeClr val="phClr">
                <a:tint val="94000"/>
                <a:satMod val="120000"/>
                <a:lumMod val="104000"/>
              </a:schemeClr>
            </a:duotone>
          </a:blip>
          <a:tile tx="0" ty="0" sx="100000" sy="100000" flip="none" algn="tl"/>
        </a:blipFill>
      </a:fillStyleLst>
      <a:lnStyleLst>
        <a:ln w="9525" cap="flat" cmpd="sng" algn="ctr">
          <a:solidFill>
            <a:schemeClr val="phClr"/>
          </a:solidFill>
          <a:prstDash val="solid"/>
        </a:ln>
        <a:ln w="15875"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38100" dist="25400" dir="5400000" rotWithShape="0">
              <a:srgbClr val="000000">
                <a:alpha val="60000"/>
              </a:srgbClr>
            </a:outerShdw>
          </a:effectLst>
        </a:effectStyle>
      </a:effectStyleLst>
      <a:bgFillStyleLst>
        <a:solidFill>
          <a:schemeClr val="phClr"/>
        </a:solidFill>
        <a:gradFill rotWithShape="1">
          <a:gsLst>
            <a:gs pos="0">
              <a:schemeClr val="phClr">
                <a:tint val="90000"/>
                <a:lumMod val="110000"/>
              </a:schemeClr>
            </a:gs>
            <a:gs pos="100000">
              <a:schemeClr val="phClr">
                <a:shade val="88000"/>
                <a:lumMod val="98000"/>
              </a:schemeClr>
            </a:gs>
          </a:gsLst>
          <a:lin ang="5400000" scaled="0"/>
        </a:gradFill>
        <a:blipFill>
          <a:blip xmlns:r="http://schemas.openxmlformats.org/officeDocument/2006/relationships" r:embed="rId2"/>
          <a:stretch/>
        </a:blipFill>
      </a:bgFillStyleLst>
    </a:fmtScheme>
  </a:themeElements>
  <a:objectDefaults/>
  <a:extraClrSchemeLst/>
  <a:extLst>
    <a:ext uri="{05A4C25C-085E-4340-85A3-A5531E510DB2}">
      <thm15:themeFamily xmlns:thm15="http://schemas.microsoft.com/office/thememl/2012/main" name="Organic" id="{28CDC826-8792-45C0-861B-85EB3ADEDA33}" vid="{7DAC20F1-423D-49E2-BD0B-50532748BAD0}"/>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B086C-A415-4735-B36A-95FDECF3BB02}">
  <sheetPr codeName="Sheet1"/>
  <dimension ref="A1:R64"/>
  <sheetViews>
    <sheetView tabSelected="1" zoomScaleNormal="100" workbookViewId="0">
      <selection activeCell="B14" sqref="B14"/>
    </sheetView>
  </sheetViews>
  <sheetFormatPr defaultRowHeight="15" x14ac:dyDescent="0.25"/>
  <cols>
    <col min="1" max="1" width="19.140625" customWidth="1"/>
    <col min="2" max="2" width="41.140625" customWidth="1"/>
    <col min="3" max="3" width="21.140625" customWidth="1"/>
    <col min="4" max="4" width="16.7109375" customWidth="1"/>
    <col min="5" max="5" width="21.140625" customWidth="1"/>
    <col min="6" max="8" width="12" customWidth="1"/>
    <col min="9" max="9" width="14.5703125" customWidth="1"/>
    <col min="10" max="10" width="11.140625" customWidth="1"/>
    <col min="11" max="11" width="18.140625" customWidth="1"/>
    <col min="12" max="12" width="10.140625" customWidth="1"/>
    <col min="18" max="18" width="12.7109375" customWidth="1"/>
  </cols>
  <sheetData>
    <row r="1" spans="1:18" ht="18.75" x14ac:dyDescent="0.3">
      <c r="A1" s="10" t="s">
        <v>0</v>
      </c>
      <c r="B1" s="10"/>
      <c r="C1" s="10"/>
    </row>
    <row r="3" spans="1:18" x14ac:dyDescent="0.25">
      <c r="A3" s="1"/>
      <c r="B3" s="1"/>
      <c r="C3" s="1"/>
      <c r="D3" s="1"/>
      <c r="E3" s="1"/>
      <c r="F3" s="8" t="s">
        <v>1</v>
      </c>
      <c r="G3" s="9"/>
      <c r="H3" s="9"/>
      <c r="I3" s="4" t="s">
        <v>2</v>
      </c>
      <c r="J3" s="5"/>
      <c r="K3" s="5"/>
      <c r="L3" s="5"/>
      <c r="M3" s="6" t="s">
        <v>3</v>
      </c>
      <c r="N3" s="7"/>
      <c r="O3" s="7"/>
      <c r="P3" s="7"/>
      <c r="Q3" s="7"/>
      <c r="R3" s="2"/>
    </row>
    <row r="4" spans="1:18" x14ac:dyDescent="0.25">
      <c r="A4" s="1" t="s">
        <v>4</v>
      </c>
      <c r="B4" s="1" t="s">
        <v>5</v>
      </c>
      <c r="C4" s="1" t="s">
        <v>6</v>
      </c>
      <c r="D4" s="1" t="s">
        <v>7</v>
      </c>
      <c r="E4" s="1" t="s">
        <v>8</v>
      </c>
      <c r="F4" s="1" t="s">
        <v>9</v>
      </c>
      <c r="G4" s="1" t="s">
        <v>10</v>
      </c>
      <c r="H4" s="1" t="s">
        <v>11</v>
      </c>
      <c r="I4" s="1" t="s">
        <v>12</v>
      </c>
      <c r="J4" s="1" t="s">
        <v>13</v>
      </c>
      <c r="K4" s="1" t="s">
        <v>14</v>
      </c>
      <c r="L4" s="1" t="s">
        <v>15</v>
      </c>
      <c r="M4" s="1" t="s">
        <v>264</v>
      </c>
      <c r="N4" s="1" t="s">
        <v>265</v>
      </c>
      <c r="O4" s="1" t="s">
        <v>266</v>
      </c>
      <c r="P4" s="1" t="s">
        <v>267</v>
      </c>
      <c r="Q4" s="1" t="s">
        <v>268</v>
      </c>
      <c r="R4" s="1" t="s">
        <v>16</v>
      </c>
    </row>
    <row r="5" spans="1:18" x14ac:dyDescent="0.25">
      <c r="A5" t="s">
        <v>48</v>
      </c>
      <c r="B5" t="s">
        <v>49</v>
      </c>
      <c r="C5" t="s">
        <v>50</v>
      </c>
      <c r="D5" t="s">
        <v>51</v>
      </c>
      <c r="E5" t="s">
        <v>21</v>
      </c>
      <c r="F5" t="s">
        <v>22</v>
      </c>
      <c r="I5" t="s">
        <v>22</v>
      </c>
      <c r="J5" t="s">
        <v>27</v>
      </c>
      <c r="K5" t="s">
        <v>22</v>
      </c>
      <c r="L5" t="s">
        <v>27</v>
      </c>
      <c r="M5">
        <v>1581</v>
      </c>
      <c r="N5">
        <v>4799</v>
      </c>
      <c r="O5">
        <v>6582</v>
      </c>
      <c r="P5">
        <v>9024</v>
      </c>
      <c r="Q5">
        <v>9759</v>
      </c>
      <c r="R5" s="3" t="e">
        <f>_xlfn.RRI($Q$3-$M$3,M5,Q5)</f>
        <v>#VALUE!</v>
      </c>
    </row>
    <row r="6" spans="1:18" x14ac:dyDescent="0.25">
      <c r="A6" t="s">
        <v>32</v>
      </c>
      <c r="B6" t="s">
        <v>33</v>
      </c>
      <c r="C6" t="s">
        <v>34</v>
      </c>
      <c r="D6" t="s">
        <v>35</v>
      </c>
      <c r="E6" t="s">
        <v>21</v>
      </c>
      <c r="F6" t="s">
        <v>22</v>
      </c>
      <c r="G6" t="s">
        <v>22</v>
      </c>
      <c r="H6" t="s">
        <v>22</v>
      </c>
      <c r="I6" t="s">
        <v>22</v>
      </c>
      <c r="J6" t="s">
        <v>22</v>
      </c>
      <c r="K6" t="s">
        <v>22</v>
      </c>
      <c r="L6" t="s">
        <v>22</v>
      </c>
      <c r="M6">
        <v>906</v>
      </c>
      <c r="N6">
        <v>1251</v>
      </c>
      <c r="O6">
        <v>2897</v>
      </c>
      <c r="P6">
        <v>4499</v>
      </c>
      <c r="Q6">
        <v>9428</v>
      </c>
      <c r="R6" s="3" t="e">
        <f>_xlfn.RRI($Q$3-$M$3,M6,Q6)</f>
        <v>#VALUE!</v>
      </c>
    </row>
    <row r="7" spans="1:18" x14ac:dyDescent="0.25">
      <c r="A7" t="s">
        <v>68</v>
      </c>
      <c r="B7" t="s">
        <v>69</v>
      </c>
      <c r="C7" t="s">
        <v>70</v>
      </c>
      <c r="D7" t="s">
        <v>71</v>
      </c>
      <c r="E7" t="s">
        <v>21</v>
      </c>
      <c r="F7" t="s">
        <v>22</v>
      </c>
      <c r="I7" t="s">
        <v>22</v>
      </c>
      <c r="L7" t="s">
        <v>22</v>
      </c>
      <c r="M7">
        <v>24</v>
      </c>
      <c r="N7">
        <v>1797</v>
      </c>
      <c r="O7">
        <v>3548</v>
      </c>
      <c r="P7">
        <v>3668</v>
      </c>
      <c r="Q7">
        <v>8592</v>
      </c>
      <c r="R7" s="3">
        <f>_xlfn.RRI($Q$4-$M$4,M7,Q7)</f>
        <v>3.3498147004699526</v>
      </c>
    </row>
    <row r="8" spans="1:18" x14ac:dyDescent="0.25">
      <c r="A8" t="s">
        <v>97</v>
      </c>
      <c r="B8" t="s">
        <v>98</v>
      </c>
      <c r="C8" t="s">
        <v>99</v>
      </c>
      <c r="D8" t="s">
        <v>100</v>
      </c>
      <c r="E8" t="s">
        <v>84</v>
      </c>
      <c r="F8" t="s">
        <v>22</v>
      </c>
      <c r="G8" t="s">
        <v>22</v>
      </c>
      <c r="H8" t="s">
        <v>27</v>
      </c>
      <c r="I8" t="s">
        <v>22</v>
      </c>
      <c r="J8" t="s">
        <v>27</v>
      </c>
      <c r="K8" t="s">
        <v>22</v>
      </c>
      <c r="L8" t="s">
        <v>27</v>
      </c>
      <c r="M8">
        <v>73</v>
      </c>
      <c r="N8">
        <v>3485</v>
      </c>
      <c r="O8">
        <v>4592</v>
      </c>
      <c r="P8">
        <v>5143</v>
      </c>
      <c r="Q8">
        <v>8100</v>
      </c>
      <c r="R8" s="3">
        <f>_xlfn.RRI($Q$4-$M$4,M8,Q8)</f>
        <v>2.2455667067018901</v>
      </c>
    </row>
    <row r="9" spans="1:18" x14ac:dyDescent="0.25">
      <c r="A9" t="s">
        <v>146</v>
      </c>
      <c r="B9" t="s">
        <v>147</v>
      </c>
      <c r="C9" t="s">
        <v>148</v>
      </c>
      <c r="D9" t="s">
        <v>149</v>
      </c>
      <c r="E9" t="s">
        <v>145</v>
      </c>
      <c r="F9" t="s">
        <v>22</v>
      </c>
      <c r="G9" t="s">
        <v>22</v>
      </c>
      <c r="H9" t="s">
        <v>22</v>
      </c>
      <c r="I9" t="s">
        <v>22</v>
      </c>
      <c r="J9" t="s">
        <v>22</v>
      </c>
      <c r="K9" t="s">
        <v>22</v>
      </c>
      <c r="L9" t="s">
        <v>27</v>
      </c>
      <c r="M9">
        <v>138</v>
      </c>
      <c r="N9">
        <v>286</v>
      </c>
      <c r="O9">
        <v>6750</v>
      </c>
      <c r="P9">
        <v>8254</v>
      </c>
      <c r="Q9">
        <v>8656</v>
      </c>
      <c r="R9" s="3">
        <f>_xlfn.RRI($Q$4-$M$4,M9,Q9)</f>
        <v>1.8142296888697582</v>
      </c>
    </row>
    <row r="10" spans="1:18" x14ac:dyDescent="0.25">
      <c r="A10" t="s">
        <v>243</v>
      </c>
      <c r="B10" t="s">
        <v>244</v>
      </c>
      <c r="C10" t="s">
        <v>245</v>
      </c>
      <c r="D10" t="s">
        <v>246</v>
      </c>
      <c r="E10" t="s">
        <v>206</v>
      </c>
      <c r="F10" t="s">
        <v>22</v>
      </c>
      <c r="G10" t="s">
        <v>22</v>
      </c>
      <c r="H10" t="s">
        <v>22</v>
      </c>
      <c r="I10" t="s">
        <v>27</v>
      </c>
      <c r="J10" t="s">
        <v>27</v>
      </c>
      <c r="K10" t="s">
        <v>22</v>
      </c>
      <c r="L10" t="s">
        <v>27</v>
      </c>
      <c r="M10">
        <v>128</v>
      </c>
      <c r="N10">
        <v>416</v>
      </c>
      <c r="O10">
        <v>747</v>
      </c>
      <c r="P10">
        <v>1028</v>
      </c>
      <c r="Q10">
        <v>6357</v>
      </c>
      <c r="R10" s="3">
        <f>_xlfn.RRI($Q$4-$M$4,M10,Q10)</f>
        <v>1.6546701130112136</v>
      </c>
    </row>
    <row r="11" spans="1:18" x14ac:dyDescent="0.25">
      <c r="A11" t="s">
        <v>125</v>
      </c>
      <c r="B11" t="s">
        <v>126</v>
      </c>
      <c r="C11" t="s">
        <v>127</v>
      </c>
      <c r="D11" t="s">
        <v>128</v>
      </c>
      <c r="E11" t="s">
        <v>84</v>
      </c>
      <c r="F11" t="s">
        <v>22</v>
      </c>
      <c r="G11" t="s">
        <v>22</v>
      </c>
      <c r="H11" t="s">
        <v>27</v>
      </c>
      <c r="I11" t="s">
        <v>22</v>
      </c>
      <c r="J11" t="s">
        <v>22</v>
      </c>
      <c r="K11" t="s">
        <v>22</v>
      </c>
      <c r="L11" t="s">
        <v>27</v>
      </c>
      <c r="M11">
        <v>209</v>
      </c>
      <c r="N11">
        <v>621</v>
      </c>
      <c r="O11">
        <v>3098</v>
      </c>
      <c r="P11">
        <v>7118</v>
      </c>
      <c r="Q11">
        <v>8433</v>
      </c>
      <c r="R11" s="3">
        <f>_xlfn.RRI($Q$4-$M$4,M11,Q11)</f>
        <v>1.5203389637502625</v>
      </c>
    </row>
    <row r="12" spans="1:18" x14ac:dyDescent="0.25">
      <c r="A12" t="s">
        <v>101</v>
      </c>
      <c r="B12" t="s">
        <v>102</v>
      </c>
      <c r="C12" t="s">
        <v>103</v>
      </c>
      <c r="D12" t="s">
        <v>104</v>
      </c>
      <c r="E12" t="s">
        <v>84</v>
      </c>
      <c r="F12" t="s">
        <v>22</v>
      </c>
      <c r="G12" t="s">
        <v>22</v>
      </c>
      <c r="H12" t="s">
        <v>27</v>
      </c>
      <c r="I12" t="s">
        <v>22</v>
      </c>
      <c r="J12" t="s">
        <v>27</v>
      </c>
      <c r="K12" t="s">
        <v>22</v>
      </c>
      <c r="L12" t="s">
        <v>27</v>
      </c>
      <c r="M12">
        <v>238</v>
      </c>
      <c r="N12">
        <v>1235</v>
      </c>
      <c r="O12">
        <v>1822</v>
      </c>
      <c r="P12">
        <v>7074</v>
      </c>
      <c r="Q12">
        <v>8207</v>
      </c>
      <c r="R12" s="3">
        <f>_xlfn.RRI($Q$4-$M$4,M12,Q12)</f>
        <v>1.4232703532020747</v>
      </c>
    </row>
    <row r="13" spans="1:18" x14ac:dyDescent="0.25">
      <c r="A13" t="s">
        <v>207</v>
      </c>
      <c r="B13" t="s">
        <v>208</v>
      </c>
      <c r="C13" t="s">
        <v>209</v>
      </c>
      <c r="D13" t="s">
        <v>210</v>
      </c>
      <c r="E13" t="s">
        <v>206</v>
      </c>
      <c r="F13" t="s">
        <v>22</v>
      </c>
      <c r="G13" t="s">
        <v>22</v>
      </c>
      <c r="H13" t="s">
        <v>22</v>
      </c>
      <c r="I13" t="s">
        <v>27</v>
      </c>
      <c r="J13" t="s">
        <v>27</v>
      </c>
      <c r="K13" t="s">
        <v>22</v>
      </c>
      <c r="L13" t="s">
        <v>27</v>
      </c>
      <c r="M13">
        <v>299</v>
      </c>
      <c r="N13">
        <v>657</v>
      </c>
      <c r="O13">
        <v>6238</v>
      </c>
      <c r="P13">
        <v>8922</v>
      </c>
      <c r="Q13">
        <v>9081</v>
      </c>
      <c r="R13" s="3">
        <f>_xlfn.RRI($Q$4-$M$4,M13,Q13)</f>
        <v>1.3475541667800686</v>
      </c>
    </row>
    <row r="14" spans="1:18" x14ac:dyDescent="0.25">
      <c r="A14" t="s">
        <v>178</v>
      </c>
      <c r="B14" t="s">
        <v>179</v>
      </c>
      <c r="C14" t="s">
        <v>180</v>
      </c>
      <c r="D14" t="s">
        <v>181</v>
      </c>
      <c r="E14" t="s">
        <v>145</v>
      </c>
      <c r="F14" t="s">
        <v>22</v>
      </c>
      <c r="G14" t="s">
        <v>22</v>
      </c>
      <c r="H14" t="s">
        <v>22</v>
      </c>
      <c r="I14" t="s">
        <v>22</v>
      </c>
      <c r="J14" t="s">
        <v>22</v>
      </c>
      <c r="K14" t="s">
        <v>22</v>
      </c>
      <c r="L14" t="s">
        <v>22</v>
      </c>
      <c r="M14">
        <v>376</v>
      </c>
      <c r="N14">
        <v>889</v>
      </c>
      <c r="O14">
        <v>4373</v>
      </c>
      <c r="P14">
        <v>6803</v>
      </c>
      <c r="Q14">
        <v>7578</v>
      </c>
      <c r="R14" s="3">
        <f>_xlfn.RRI($Q$4-$M$4,M14,Q14)</f>
        <v>1.1188084145320056</v>
      </c>
    </row>
    <row r="15" spans="1:18" x14ac:dyDescent="0.25">
      <c r="A15" t="s">
        <v>198</v>
      </c>
      <c r="B15" t="s">
        <v>199</v>
      </c>
      <c r="C15" t="s">
        <v>200</v>
      </c>
      <c r="D15" t="s">
        <v>201</v>
      </c>
      <c r="E15" t="s">
        <v>145</v>
      </c>
      <c r="F15" t="s">
        <v>22</v>
      </c>
      <c r="G15" t="s">
        <v>22</v>
      </c>
      <c r="H15" t="s">
        <v>22</v>
      </c>
      <c r="I15" t="s">
        <v>22</v>
      </c>
      <c r="J15" t="s">
        <v>22</v>
      </c>
      <c r="K15" t="s">
        <v>27</v>
      </c>
      <c r="L15" t="s">
        <v>27</v>
      </c>
      <c r="M15">
        <v>431</v>
      </c>
      <c r="N15">
        <v>6231</v>
      </c>
      <c r="O15">
        <v>7478</v>
      </c>
      <c r="P15">
        <v>8039</v>
      </c>
      <c r="Q15">
        <v>8271</v>
      </c>
      <c r="R15" s="3">
        <f>_xlfn.RRI($Q$4-$M$4,M15,Q15)</f>
        <v>1.0930046233022455</v>
      </c>
    </row>
    <row r="16" spans="1:18" x14ac:dyDescent="0.25">
      <c r="A16" t="s">
        <v>174</v>
      </c>
      <c r="B16" t="s">
        <v>175</v>
      </c>
      <c r="C16" t="s">
        <v>176</v>
      </c>
      <c r="D16" t="s">
        <v>177</v>
      </c>
      <c r="E16" t="s">
        <v>145</v>
      </c>
      <c r="F16" t="s">
        <v>22</v>
      </c>
      <c r="G16" t="s">
        <v>22</v>
      </c>
      <c r="H16" t="s">
        <v>22</v>
      </c>
      <c r="I16" t="s">
        <v>22</v>
      </c>
      <c r="J16" t="s">
        <v>22</v>
      </c>
      <c r="K16" t="s">
        <v>22</v>
      </c>
      <c r="L16" t="s">
        <v>22</v>
      </c>
      <c r="M16">
        <v>488</v>
      </c>
      <c r="N16">
        <v>5535</v>
      </c>
      <c r="O16">
        <v>5775</v>
      </c>
      <c r="P16">
        <v>7661</v>
      </c>
      <c r="Q16">
        <v>9206</v>
      </c>
      <c r="R16" s="3">
        <f>_xlfn.RRI($Q$4-$M$4,M16,Q16)</f>
        <v>1.084072328017021</v>
      </c>
    </row>
    <row r="17" spans="1:18" x14ac:dyDescent="0.25">
      <c r="A17" t="s">
        <v>117</v>
      </c>
      <c r="B17" t="s">
        <v>118</v>
      </c>
      <c r="C17" t="s">
        <v>119</v>
      </c>
      <c r="D17" t="s">
        <v>120</v>
      </c>
      <c r="E17" t="s">
        <v>84</v>
      </c>
      <c r="F17" t="s">
        <v>22</v>
      </c>
      <c r="G17" t="s">
        <v>22</v>
      </c>
      <c r="H17" t="s">
        <v>27</v>
      </c>
      <c r="I17" t="s">
        <v>22</v>
      </c>
      <c r="J17" t="s">
        <v>22</v>
      </c>
      <c r="K17" t="s">
        <v>22</v>
      </c>
      <c r="L17" t="s">
        <v>27</v>
      </c>
      <c r="M17">
        <v>570</v>
      </c>
      <c r="N17">
        <v>1322</v>
      </c>
      <c r="O17">
        <v>7279</v>
      </c>
      <c r="P17">
        <v>8443</v>
      </c>
      <c r="Q17">
        <v>9571</v>
      </c>
      <c r="R17" s="3">
        <f>_xlfn.RRI($Q$4-$M$4,M17,Q17)</f>
        <v>1.0242801438529217</v>
      </c>
    </row>
    <row r="18" spans="1:18" x14ac:dyDescent="0.25">
      <c r="A18" t="s">
        <v>166</v>
      </c>
      <c r="B18" t="s">
        <v>167</v>
      </c>
      <c r="C18" t="s">
        <v>168</v>
      </c>
      <c r="D18" t="s">
        <v>169</v>
      </c>
      <c r="E18" t="s">
        <v>145</v>
      </c>
      <c r="F18" t="s">
        <v>22</v>
      </c>
      <c r="G18" t="s">
        <v>22</v>
      </c>
      <c r="H18" t="s">
        <v>22</v>
      </c>
      <c r="I18" t="s">
        <v>22</v>
      </c>
      <c r="J18" t="s">
        <v>22</v>
      </c>
      <c r="K18" t="s">
        <v>22</v>
      </c>
      <c r="L18" t="s">
        <v>22</v>
      </c>
      <c r="M18">
        <v>742</v>
      </c>
      <c r="N18">
        <v>3751</v>
      </c>
      <c r="O18">
        <v>4423</v>
      </c>
      <c r="P18">
        <v>8733</v>
      </c>
      <c r="Q18">
        <v>9909</v>
      </c>
      <c r="R18" s="3">
        <f>_xlfn.RRI($Q$4-$M$4,M18,Q18)</f>
        <v>0.91164163510334228</v>
      </c>
    </row>
    <row r="19" spans="1:18" x14ac:dyDescent="0.25">
      <c r="A19" t="s">
        <v>89</v>
      </c>
      <c r="B19" t="s">
        <v>90</v>
      </c>
      <c r="C19" t="s">
        <v>91</v>
      </c>
      <c r="D19" t="s">
        <v>92</v>
      </c>
      <c r="E19" t="s">
        <v>84</v>
      </c>
      <c r="F19" t="s">
        <v>22</v>
      </c>
      <c r="G19" t="s">
        <v>22</v>
      </c>
      <c r="H19" t="s">
        <v>27</v>
      </c>
      <c r="I19" t="s">
        <v>22</v>
      </c>
      <c r="J19" t="s">
        <v>27</v>
      </c>
      <c r="K19" t="s">
        <v>22</v>
      </c>
      <c r="L19" t="s">
        <v>27</v>
      </c>
      <c r="M19">
        <v>700</v>
      </c>
      <c r="N19">
        <v>5721</v>
      </c>
      <c r="O19">
        <v>6247</v>
      </c>
      <c r="P19">
        <v>8495</v>
      </c>
      <c r="Q19">
        <v>9236</v>
      </c>
      <c r="R19" s="3">
        <f>_xlfn.RRI($Q$4-$M$4,M19,Q19)</f>
        <v>0.90588403033885334</v>
      </c>
    </row>
    <row r="20" spans="1:18" x14ac:dyDescent="0.25">
      <c r="A20" t="s">
        <v>133</v>
      </c>
      <c r="B20" t="s">
        <v>134</v>
      </c>
      <c r="C20" t="s">
        <v>135</v>
      </c>
      <c r="D20" t="s">
        <v>136</v>
      </c>
      <c r="E20" t="s">
        <v>84</v>
      </c>
      <c r="F20" t="s">
        <v>22</v>
      </c>
      <c r="G20" t="s">
        <v>22</v>
      </c>
      <c r="H20" t="s">
        <v>27</v>
      </c>
      <c r="I20" t="s">
        <v>22</v>
      </c>
      <c r="J20" t="s">
        <v>27</v>
      </c>
      <c r="K20" t="s">
        <v>22</v>
      </c>
      <c r="L20" t="s">
        <v>27</v>
      </c>
      <c r="M20">
        <v>712</v>
      </c>
      <c r="N20">
        <v>4182</v>
      </c>
      <c r="O20">
        <v>6087</v>
      </c>
      <c r="P20">
        <v>7494</v>
      </c>
      <c r="Q20">
        <v>8599</v>
      </c>
      <c r="R20" s="3">
        <f>_xlfn.RRI($Q$4-$M$4,M20,Q20)</f>
        <v>0.86419779018759768</v>
      </c>
    </row>
    <row r="21" spans="1:18" x14ac:dyDescent="0.25">
      <c r="A21" t="s">
        <v>219</v>
      </c>
      <c r="B21" t="s">
        <v>220</v>
      </c>
      <c r="C21" t="s">
        <v>221</v>
      </c>
      <c r="D21" t="s">
        <v>222</v>
      </c>
      <c r="E21" t="s">
        <v>206</v>
      </c>
      <c r="F21" t="s">
        <v>22</v>
      </c>
      <c r="G21" t="s">
        <v>22</v>
      </c>
      <c r="H21" t="s">
        <v>22</v>
      </c>
      <c r="I21" t="s">
        <v>27</v>
      </c>
      <c r="J21" t="s">
        <v>27</v>
      </c>
      <c r="K21" t="s">
        <v>22</v>
      </c>
      <c r="L21" t="s">
        <v>27</v>
      </c>
      <c r="M21">
        <v>870</v>
      </c>
      <c r="N21">
        <v>2428</v>
      </c>
      <c r="O21">
        <v>7386</v>
      </c>
      <c r="P21">
        <v>8835</v>
      </c>
      <c r="Q21">
        <v>9766</v>
      </c>
      <c r="R21" s="3">
        <f>_xlfn.RRI($Q$4-$M$4,M21,Q21)</f>
        <v>0.83041416010220881</v>
      </c>
    </row>
    <row r="22" spans="1:18" x14ac:dyDescent="0.25">
      <c r="A22" t="s">
        <v>72</v>
      </c>
      <c r="B22" t="s">
        <v>73</v>
      </c>
      <c r="C22" t="s">
        <v>74</v>
      </c>
      <c r="D22" t="s">
        <v>75</v>
      </c>
      <c r="E22" t="s">
        <v>21</v>
      </c>
      <c r="F22" t="s">
        <v>22</v>
      </c>
      <c r="G22" t="s">
        <v>22</v>
      </c>
      <c r="H22" t="s">
        <v>22</v>
      </c>
      <c r="I22" t="s">
        <v>22</v>
      </c>
      <c r="J22" t="s">
        <v>22</v>
      </c>
      <c r="K22" t="s">
        <v>22</v>
      </c>
      <c r="L22" t="s">
        <v>22</v>
      </c>
      <c r="M22">
        <v>861</v>
      </c>
      <c r="N22">
        <v>1314</v>
      </c>
      <c r="O22">
        <v>1810</v>
      </c>
      <c r="P22">
        <v>6510</v>
      </c>
      <c r="Q22">
        <v>9271</v>
      </c>
      <c r="R22" s="3">
        <f>_xlfn.RRI($Q$4-$M$4,M22,Q22)</f>
        <v>0.81146879617010592</v>
      </c>
    </row>
    <row r="23" spans="1:18" x14ac:dyDescent="0.25">
      <c r="A23" t="s">
        <v>186</v>
      </c>
      <c r="B23" t="s">
        <v>187</v>
      </c>
      <c r="C23" t="s">
        <v>188</v>
      </c>
      <c r="D23" t="s">
        <v>189</v>
      </c>
      <c r="E23" t="s">
        <v>145</v>
      </c>
      <c r="F23" t="s">
        <v>22</v>
      </c>
      <c r="G23" t="s">
        <v>22</v>
      </c>
      <c r="H23" t="s">
        <v>22</v>
      </c>
      <c r="I23" t="s">
        <v>22</v>
      </c>
      <c r="J23" t="s">
        <v>22</v>
      </c>
      <c r="K23" t="s">
        <v>22</v>
      </c>
      <c r="L23" t="s">
        <v>22</v>
      </c>
      <c r="M23">
        <v>1038</v>
      </c>
      <c r="N23">
        <v>3615</v>
      </c>
      <c r="O23">
        <v>3712</v>
      </c>
      <c r="P23">
        <v>5819</v>
      </c>
      <c r="Q23">
        <v>9589</v>
      </c>
      <c r="R23" s="3">
        <f>_xlfn.RRI($Q$4-$M$4,M23,Q23)</f>
        <v>0.74338775485751718</v>
      </c>
    </row>
    <row r="24" spans="1:18" x14ac:dyDescent="0.25">
      <c r="A24" t="s">
        <v>239</v>
      </c>
      <c r="B24" t="s">
        <v>240</v>
      </c>
      <c r="C24" t="s">
        <v>241</v>
      </c>
      <c r="D24" t="s">
        <v>242</v>
      </c>
      <c r="E24" t="s">
        <v>206</v>
      </c>
      <c r="F24" t="s">
        <v>22</v>
      </c>
      <c r="G24" t="s">
        <v>27</v>
      </c>
      <c r="H24" t="s">
        <v>27</v>
      </c>
      <c r="I24" t="s">
        <v>27</v>
      </c>
      <c r="J24" t="s">
        <v>27</v>
      </c>
      <c r="K24" t="s">
        <v>22</v>
      </c>
      <c r="L24" t="s">
        <v>27</v>
      </c>
      <c r="M24">
        <v>576</v>
      </c>
      <c r="N24">
        <v>2628</v>
      </c>
      <c r="O24">
        <v>3612</v>
      </c>
      <c r="P24">
        <v>5066</v>
      </c>
      <c r="Q24">
        <v>5156</v>
      </c>
      <c r="R24" s="3">
        <f>_xlfn.RRI($Q$4-$M$4,M24,Q24)</f>
        <v>0.72970725225475852</v>
      </c>
    </row>
    <row r="25" spans="1:18" x14ac:dyDescent="0.25">
      <c r="A25" t="s">
        <v>158</v>
      </c>
      <c r="B25" t="s">
        <v>159</v>
      </c>
      <c r="C25" t="s">
        <v>160</v>
      </c>
      <c r="D25" t="s">
        <v>161</v>
      </c>
      <c r="E25" t="s">
        <v>145</v>
      </c>
      <c r="F25" t="s">
        <v>22</v>
      </c>
      <c r="G25" t="s">
        <v>22</v>
      </c>
      <c r="H25" t="s">
        <v>22</v>
      </c>
      <c r="I25" t="s">
        <v>22</v>
      </c>
      <c r="J25" t="s">
        <v>22</v>
      </c>
      <c r="K25" t="s">
        <v>22</v>
      </c>
      <c r="L25" t="s">
        <v>22</v>
      </c>
      <c r="M25">
        <v>1092</v>
      </c>
      <c r="N25">
        <v>3140</v>
      </c>
      <c r="O25">
        <v>4123</v>
      </c>
      <c r="P25">
        <v>4366</v>
      </c>
      <c r="Q25">
        <v>9482</v>
      </c>
      <c r="R25" s="3">
        <f>_xlfn.RRI($Q$4-$M$4,M25,Q25)</f>
        <v>0.71660086943635504</v>
      </c>
    </row>
    <row r="26" spans="1:18" x14ac:dyDescent="0.25">
      <c r="A26" t="s">
        <v>227</v>
      </c>
      <c r="B26" t="s">
        <v>228</v>
      </c>
      <c r="C26" t="s">
        <v>229</v>
      </c>
      <c r="D26" t="s">
        <v>230</v>
      </c>
      <c r="E26" t="s">
        <v>206</v>
      </c>
      <c r="F26" t="s">
        <v>22</v>
      </c>
      <c r="G26" t="s">
        <v>22</v>
      </c>
      <c r="H26" t="s">
        <v>22</v>
      </c>
      <c r="I26" t="s">
        <v>27</v>
      </c>
      <c r="J26" t="s">
        <v>27</v>
      </c>
      <c r="K26" t="s">
        <v>22</v>
      </c>
      <c r="L26" t="s">
        <v>27</v>
      </c>
      <c r="M26">
        <v>1082</v>
      </c>
      <c r="N26">
        <v>3353</v>
      </c>
      <c r="O26">
        <v>6351</v>
      </c>
      <c r="P26">
        <v>8550</v>
      </c>
      <c r="Q26">
        <v>9272</v>
      </c>
      <c r="R26" s="3">
        <f>_xlfn.RRI($Q$4-$M$4,M26,Q26)</f>
        <v>0.71094693671276654</v>
      </c>
    </row>
    <row r="27" spans="1:18" x14ac:dyDescent="0.25">
      <c r="A27" t="s">
        <v>28</v>
      </c>
      <c r="B27" t="s">
        <v>29</v>
      </c>
      <c r="C27" t="s">
        <v>30</v>
      </c>
      <c r="D27" t="s">
        <v>31</v>
      </c>
      <c r="E27" t="s">
        <v>21</v>
      </c>
      <c r="F27" t="s">
        <v>22</v>
      </c>
      <c r="G27" t="s">
        <v>22</v>
      </c>
      <c r="H27" t="s">
        <v>22</v>
      </c>
      <c r="I27" t="s">
        <v>22</v>
      </c>
      <c r="J27" t="s">
        <v>22</v>
      </c>
      <c r="K27" t="s">
        <v>22</v>
      </c>
      <c r="L27" t="s">
        <v>22</v>
      </c>
      <c r="M27">
        <v>1209</v>
      </c>
      <c r="N27">
        <v>1534</v>
      </c>
      <c r="O27">
        <v>1634</v>
      </c>
      <c r="P27">
        <v>4302</v>
      </c>
      <c r="Q27">
        <v>9768</v>
      </c>
      <c r="R27" s="3">
        <f>_xlfn.RRI($Q$4-$M$4,M27,Q27)</f>
        <v>0.68595057009486848</v>
      </c>
    </row>
    <row r="28" spans="1:18" x14ac:dyDescent="0.25">
      <c r="A28" t="s">
        <v>251</v>
      </c>
      <c r="B28" t="s">
        <v>252</v>
      </c>
      <c r="C28" t="s">
        <v>253</v>
      </c>
      <c r="D28" t="s">
        <v>254</v>
      </c>
      <c r="E28" t="s">
        <v>206</v>
      </c>
      <c r="F28" t="s">
        <v>22</v>
      </c>
      <c r="G28" t="s">
        <v>22</v>
      </c>
      <c r="H28" t="s">
        <v>22</v>
      </c>
      <c r="I28" t="s">
        <v>27</v>
      </c>
      <c r="J28" t="s">
        <v>27</v>
      </c>
      <c r="K28" t="s">
        <v>27</v>
      </c>
      <c r="L28" t="s">
        <v>27</v>
      </c>
      <c r="M28">
        <v>1263</v>
      </c>
      <c r="N28">
        <v>2517</v>
      </c>
      <c r="O28">
        <v>8042</v>
      </c>
      <c r="P28">
        <v>8222</v>
      </c>
      <c r="Q28">
        <v>9686</v>
      </c>
      <c r="R28" s="3">
        <f>_xlfn.RRI($Q$4-$M$4,M28,Q28)</f>
        <v>0.66412244620782168</v>
      </c>
    </row>
    <row r="29" spans="1:18" x14ac:dyDescent="0.25">
      <c r="A29" t="s">
        <v>259</v>
      </c>
      <c r="B29" t="s">
        <v>260</v>
      </c>
      <c r="C29" t="s">
        <v>261</v>
      </c>
      <c r="D29" t="s">
        <v>262</v>
      </c>
      <c r="E29" t="s">
        <v>206</v>
      </c>
      <c r="F29" t="s">
        <v>22</v>
      </c>
      <c r="G29" t="s">
        <v>22</v>
      </c>
      <c r="H29" t="s">
        <v>22</v>
      </c>
      <c r="I29" t="s">
        <v>27</v>
      </c>
      <c r="J29" t="s">
        <v>27</v>
      </c>
      <c r="K29" t="s">
        <v>27</v>
      </c>
      <c r="L29" t="s">
        <v>27</v>
      </c>
      <c r="M29">
        <v>1014</v>
      </c>
      <c r="N29">
        <v>2254</v>
      </c>
      <c r="O29">
        <v>4534</v>
      </c>
      <c r="P29">
        <v>6796</v>
      </c>
      <c r="Q29">
        <v>7730</v>
      </c>
      <c r="R29" s="3">
        <f>_xlfn.RRI($Q$4-$M$4,M29,Q29)</f>
        <v>0.66163405613342663</v>
      </c>
    </row>
    <row r="30" spans="1:18" x14ac:dyDescent="0.25">
      <c r="A30" t="s">
        <v>105</v>
      </c>
      <c r="B30" t="s">
        <v>106</v>
      </c>
      <c r="C30" t="s">
        <v>107</v>
      </c>
      <c r="D30" t="s">
        <v>108</v>
      </c>
      <c r="E30" t="s">
        <v>84</v>
      </c>
      <c r="F30" t="s">
        <v>22</v>
      </c>
      <c r="G30" t="s">
        <v>22</v>
      </c>
      <c r="H30" t="s">
        <v>27</v>
      </c>
      <c r="I30" t="s">
        <v>22</v>
      </c>
      <c r="J30" t="s">
        <v>27</v>
      </c>
      <c r="K30" t="s">
        <v>22</v>
      </c>
      <c r="L30" t="s">
        <v>27</v>
      </c>
      <c r="M30">
        <v>1368</v>
      </c>
      <c r="N30">
        <v>3447</v>
      </c>
      <c r="O30">
        <v>4535</v>
      </c>
      <c r="P30">
        <v>5476</v>
      </c>
      <c r="Q30">
        <v>9983</v>
      </c>
      <c r="R30" s="3">
        <f>_xlfn.RRI($Q$4-$M$4,M30,Q30)</f>
        <v>0.64359095818904954</v>
      </c>
    </row>
    <row r="31" spans="1:18" x14ac:dyDescent="0.25">
      <c r="A31" t="s">
        <v>235</v>
      </c>
      <c r="B31" t="s">
        <v>236</v>
      </c>
      <c r="C31" t="s">
        <v>237</v>
      </c>
      <c r="D31" t="s">
        <v>238</v>
      </c>
      <c r="E31" t="s">
        <v>206</v>
      </c>
      <c r="F31" t="s">
        <v>22</v>
      </c>
      <c r="G31" t="s">
        <v>22</v>
      </c>
      <c r="H31" t="s">
        <v>22</v>
      </c>
      <c r="I31" t="s">
        <v>27</v>
      </c>
      <c r="J31" t="s">
        <v>27</v>
      </c>
      <c r="K31" t="s">
        <v>22</v>
      </c>
      <c r="L31" t="s">
        <v>27</v>
      </c>
      <c r="M31">
        <v>1357</v>
      </c>
      <c r="N31">
        <v>4189</v>
      </c>
      <c r="O31">
        <v>5407</v>
      </c>
      <c r="P31">
        <v>6233</v>
      </c>
      <c r="Q31">
        <v>9681</v>
      </c>
      <c r="R31" s="3">
        <f>_xlfn.RRI($Q$4-$M$4,M31,Q31)</f>
        <v>0.63431246502429839</v>
      </c>
    </row>
    <row r="32" spans="1:18" x14ac:dyDescent="0.25">
      <c r="A32" t="s">
        <v>194</v>
      </c>
      <c r="B32" t="s">
        <v>195</v>
      </c>
      <c r="C32" t="s">
        <v>196</v>
      </c>
      <c r="D32" t="s">
        <v>197</v>
      </c>
      <c r="E32" t="s">
        <v>145</v>
      </c>
      <c r="F32" t="s">
        <v>22</v>
      </c>
      <c r="G32" t="s">
        <v>22</v>
      </c>
      <c r="H32" t="s">
        <v>22</v>
      </c>
      <c r="I32" t="s">
        <v>22</v>
      </c>
      <c r="J32" t="s">
        <v>27</v>
      </c>
      <c r="K32" t="s">
        <v>27</v>
      </c>
      <c r="L32" t="s">
        <v>27</v>
      </c>
      <c r="M32">
        <v>1290</v>
      </c>
      <c r="N32">
        <v>4033</v>
      </c>
      <c r="O32">
        <v>6956</v>
      </c>
      <c r="P32">
        <v>7929</v>
      </c>
      <c r="Q32">
        <v>8834</v>
      </c>
      <c r="R32" s="3">
        <f>_xlfn.RRI($Q$4-$M$4,M32,Q32)</f>
        <v>0.61767741115573149</v>
      </c>
    </row>
    <row r="33" spans="1:18" x14ac:dyDescent="0.25">
      <c r="A33" t="s">
        <v>223</v>
      </c>
      <c r="B33" t="s">
        <v>224</v>
      </c>
      <c r="C33" t="s">
        <v>225</v>
      </c>
      <c r="D33" t="s">
        <v>226</v>
      </c>
      <c r="E33" t="s">
        <v>206</v>
      </c>
      <c r="F33" t="s">
        <v>22</v>
      </c>
      <c r="G33" t="s">
        <v>22</v>
      </c>
      <c r="H33" t="s">
        <v>22</v>
      </c>
      <c r="I33" t="s">
        <v>27</v>
      </c>
      <c r="J33" t="s">
        <v>27</v>
      </c>
      <c r="K33" t="s">
        <v>22</v>
      </c>
      <c r="L33" t="s">
        <v>27</v>
      </c>
      <c r="M33">
        <v>1497</v>
      </c>
      <c r="N33">
        <v>1768</v>
      </c>
      <c r="O33">
        <v>2804</v>
      </c>
      <c r="P33">
        <v>5718</v>
      </c>
      <c r="Q33">
        <v>9822</v>
      </c>
      <c r="R33" s="3">
        <f>_xlfn.RRI($Q$4-$M$4,M33,Q33)</f>
        <v>0.60045892388204325</v>
      </c>
    </row>
    <row r="34" spans="1:18" x14ac:dyDescent="0.25">
      <c r="A34" t="s">
        <v>255</v>
      </c>
      <c r="B34" t="s">
        <v>256</v>
      </c>
      <c r="C34" t="s">
        <v>257</v>
      </c>
      <c r="D34" t="s">
        <v>258</v>
      </c>
      <c r="E34" t="s">
        <v>206</v>
      </c>
      <c r="F34" t="s">
        <v>22</v>
      </c>
      <c r="G34" t="s">
        <v>22</v>
      </c>
      <c r="H34" t="s">
        <v>22</v>
      </c>
      <c r="I34" t="s">
        <v>27</v>
      </c>
      <c r="J34" t="s">
        <v>27</v>
      </c>
      <c r="K34" t="s">
        <v>27</v>
      </c>
      <c r="L34" t="s">
        <v>27</v>
      </c>
      <c r="M34">
        <v>1032</v>
      </c>
      <c r="N34">
        <v>3919</v>
      </c>
      <c r="O34">
        <v>4466</v>
      </c>
      <c r="P34">
        <v>5568</v>
      </c>
      <c r="Q34">
        <v>6476</v>
      </c>
      <c r="R34" s="3">
        <f>_xlfn.RRI($Q$4-$M$4,M34,Q34)</f>
        <v>0.58272982283102692</v>
      </c>
    </row>
    <row r="35" spans="1:18" x14ac:dyDescent="0.25">
      <c r="A35" t="s">
        <v>211</v>
      </c>
      <c r="B35" t="s">
        <v>212</v>
      </c>
      <c r="C35" t="s">
        <v>213</v>
      </c>
      <c r="D35" t="s">
        <v>214</v>
      </c>
      <c r="E35" t="s">
        <v>206</v>
      </c>
      <c r="F35" t="s">
        <v>22</v>
      </c>
      <c r="G35" t="s">
        <v>22</v>
      </c>
      <c r="H35" t="s">
        <v>22</v>
      </c>
      <c r="I35" t="s">
        <v>27</v>
      </c>
      <c r="J35" t="s">
        <v>27</v>
      </c>
      <c r="K35" t="s">
        <v>22</v>
      </c>
      <c r="L35" t="s">
        <v>27</v>
      </c>
      <c r="M35">
        <v>1323</v>
      </c>
      <c r="N35">
        <v>4963</v>
      </c>
      <c r="O35">
        <v>6292</v>
      </c>
      <c r="P35">
        <v>6728</v>
      </c>
      <c r="Q35">
        <v>8202</v>
      </c>
      <c r="R35" s="3">
        <f>_xlfn.RRI($Q$4-$M$4,M35,Q35)</f>
        <v>0.57793816418173161</v>
      </c>
    </row>
    <row r="36" spans="1:18" x14ac:dyDescent="0.25">
      <c r="A36" t="s">
        <v>113</v>
      </c>
      <c r="B36" t="s">
        <v>114</v>
      </c>
      <c r="C36" t="s">
        <v>115</v>
      </c>
      <c r="D36" t="s">
        <v>116</v>
      </c>
      <c r="E36" t="s">
        <v>84</v>
      </c>
      <c r="F36" t="s">
        <v>22</v>
      </c>
      <c r="G36" t="s">
        <v>22</v>
      </c>
      <c r="H36" t="s">
        <v>27</v>
      </c>
      <c r="I36" t="s">
        <v>22</v>
      </c>
      <c r="J36" t="s">
        <v>22</v>
      </c>
      <c r="K36" t="s">
        <v>22</v>
      </c>
      <c r="L36" t="s">
        <v>27</v>
      </c>
      <c r="M36">
        <v>1779</v>
      </c>
      <c r="N36">
        <v>2124</v>
      </c>
      <c r="O36">
        <v>2844</v>
      </c>
      <c r="P36">
        <v>6877</v>
      </c>
      <c r="Q36">
        <v>9570</v>
      </c>
      <c r="R36" s="3">
        <f>_xlfn.RRI($Q$4-$M$4,M36,Q36)</f>
        <v>0.52294422157633269</v>
      </c>
    </row>
    <row r="37" spans="1:18" x14ac:dyDescent="0.25">
      <c r="A37" t="s">
        <v>17</v>
      </c>
      <c r="B37" t="s">
        <v>18</v>
      </c>
      <c r="C37" t="s">
        <v>19</v>
      </c>
      <c r="D37" t="s">
        <v>20</v>
      </c>
      <c r="E37" t="s">
        <v>21</v>
      </c>
      <c r="F37" t="s">
        <v>22</v>
      </c>
      <c r="G37" t="s">
        <v>22</v>
      </c>
      <c r="H37" t="s">
        <v>22</v>
      </c>
      <c r="I37" t="s">
        <v>22</v>
      </c>
      <c r="J37" t="s">
        <v>22</v>
      </c>
      <c r="K37" t="s">
        <v>22</v>
      </c>
      <c r="L37" t="s">
        <v>22</v>
      </c>
      <c r="M37">
        <v>1982</v>
      </c>
      <c r="N37">
        <v>5388</v>
      </c>
      <c r="O37">
        <v>7063</v>
      </c>
      <c r="P37">
        <v>7208</v>
      </c>
      <c r="Q37">
        <v>9093</v>
      </c>
      <c r="R37" s="3">
        <f>_xlfn.RRI($Q$4-$M$4,M37,Q37)</f>
        <v>0.46352749292411066</v>
      </c>
    </row>
    <row r="38" spans="1:18" x14ac:dyDescent="0.25">
      <c r="A38" t="s">
        <v>36</v>
      </c>
      <c r="B38" t="s">
        <v>37</v>
      </c>
      <c r="C38" t="s">
        <v>38</v>
      </c>
      <c r="D38" t="s">
        <v>39</v>
      </c>
      <c r="E38" t="s">
        <v>21</v>
      </c>
      <c r="F38" t="s">
        <v>22</v>
      </c>
      <c r="G38" t="s">
        <v>22</v>
      </c>
      <c r="H38" t="s">
        <v>27</v>
      </c>
      <c r="I38" t="s">
        <v>22</v>
      </c>
      <c r="J38" t="s">
        <v>22</v>
      </c>
      <c r="K38" t="s">
        <v>22</v>
      </c>
      <c r="L38" t="s">
        <v>22</v>
      </c>
      <c r="M38">
        <v>1421</v>
      </c>
      <c r="N38">
        <v>1893</v>
      </c>
      <c r="O38">
        <v>2722</v>
      </c>
      <c r="P38">
        <v>4410</v>
      </c>
      <c r="Q38">
        <v>5873</v>
      </c>
      <c r="R38" s="3">
        <f>_xlfn.RRI($Q$4-$M$4,M38,Q38)</f>
        <v>0.42582583880267388</v>
      </c>
    </row>
    <row r="39" spans="1:18" x14ac:dyDescent="0.25">
      <c r="A39" t="s">
        <v>56</v>
      </c>
      <c r="B39" t="s">
        <v>57</v>
      </c>
      <c r="C39" t="s">
        <v>58</v>
      </c>
      <c r="D39" t="s">
        <v>59</v>
      </c>
      <c r="E39" t="s">
        <v>21</v>
      </c>
      <c r="F39" t="s">
        <v>22</v>
      </c>
      <c r="G39" t="s">
        <v>22</v>
      </c>
      <c r="H39" t="s">
        <v>27</v>
      </c>
      <c r="I39" t="s">
        <v>22</v>
      </c>
      <c r="J39" t="s">
        <v>27</v>
      </c>
      <c r="K39" t="s">
        <v>22</v>
      </c>
      <c r="L39" t="s">
        <v>27</v>
      </c>
      <c r="M39">
        <v>1530</v>
      </c>
      <c r="N39">
        <v>1620</v>
      </c>
      <c r="O39">
        <v>2027</v>
      </c>
      <c r="P39">
        <v>4881</v>
      </c>
      <c r="Q39">
        <v>6002</v>
      </c>
      <c r="R39" s="3">
        <f>_xlfn.RRI($Q$4-$M$4,M39,Q39)</f>
        <v>0.40734683274409145</v>
      </c>
    </row>
    <row r="40" spans="1:18" x14ac:dyDescent="0.25">
      <c r="A40" t="s">
        <v>40</v>
      </c>
      <c r="B40" t="s">
        <v>41</v>
      </c>
      <c r="C40" t="s">
        <v>42</v>
      </c>
      <c r="D40" t="s">
        <v>43</v>
      </c>
      <c r="E40" t="s">
        <v>21</v>
      </c>
      <c r="F40" t="s">
        <v>22</v>
      </c>
      <c r="G40" t="s">
        <v>22</v>
      </c>
      <c r="H40" t="s">
        <v>22</v>
      </c>
      <c r="I40" t="s">
        <v>27</v>
      </c>
      <c r="J40" t="s">
        <v>22</v>
      </c>
      <c r="K40" t="s">
        <v>22</v>
      </c>
      <c r="L40" t="s">
        <v>27</v>
      </c>
      <c r="M40">
        <v>2341</v>
      </c>
      <c r="N40">
        <v>6105</v>
      </c>
      <c r="O40">
        <v>7777</v>
      </c>
      <c r="P40">
        <v>7891</v>
      </c>
      <c r="Q40">
        <v>8758</v>
      </c>
      <c r="R40" s="3">
        <f>_xlfn.RRI($Q$4-$M$4,M40,Q40)</f>
        <v>0.390755806385503</v>
      </c>
    </row>
    <row r="41" spans="1:18" x14ac:dyDescent="0.25">
      <c r="A41" t="s">
        <v>162</v>
      </c>
      <c r="B41" t="s">
        <v>163</v>
      </c>
      <c r="C41" t="s">
        <v>164</v>
      </c>
      <c r="D41" t="s">
        <v>165</v>
      </c>
      <c r="E41" t="s">
        <v>145</v>
      </c>
      <c r="F41" t="s">
        <v>22</v>
      </c>
      <c r="G41" t="s">
        <v>22</v>
      </c>
      <c r="H41" t="s">
        <v>22</v>
      </c>
      <c r="I41" t="s">
        <v>27</v>
      </c>
      <c r="J41" t="s">
        <v>27</v>
      </c>
      <c r="K41" t="s">
        <v>22</v>
      </c>
      <c r="L41" t="s">
        <v>22</v>
      </c>
      <c r="M41">
        <v>2541</v>
      </c>
      <c r="N41">
        <v>3794</v>
      </c>
      <c r="O41">
        <v>3984</v>
      </c>
      <c r="P41">
        <v>8803</v>
      </c>
      <c r="Q41">
        <v>9338</v>
      </c>
      <c r="R41" s="3">
        <f>_xlfn.RRI($Q$4-$M$4,M41,Q41)</f>
        <v>0.38456165928272146</v>
      </c>
    </row>
    <row r="42" spans="1:18" x14ac:dyDescent="0.25">
      <c r="A42" t="s">
        <v>64</v>
      </c>
      <c r="B42" t="s">
        <v>65</v>
      </c>
      <c r="C42" t="s">
        <v>66</v>
      </c>
      <c r="D42" t="s">
        <v>67</v>
      </c>
      <c r="E42" t="s">
        <v>21</v>
      </c>
      <c r="F42" t="s">
        <v>22</v>
      </c>
      <c r="G42" t="s">
        <v>27</v>
      </c>
      <c r="H42" t="s">
        <v>27</v>
      </c>
      <c r="I42" t="s">
        <v>27</v>
      </c>
      <c r="J42" t="s">
        <v>27</v>
      </c>
      <c r="K42" t="s">
        <v>27</v>
      </c>
      <c r="L42" t="s">
        <v>27</v>
      </c>
      <c r="M42">
        <v>1532</v>
      </c>
      <c r="N42">
        <v>2678</v>
      </c>
      <c r="O42">
        <v>4068</v>
      </c>
      <c r="P42">
        <v>4278</v>
      </c>
      <c r="Q42">
        <v>5382</v>
      </c>
      <c r="R42" s="3">
        <f>_xlfn.RRI($Q$4-$M$4,M42,Q42)</f>
        <v>0.3690560602470212</v>
      </c>
    </row>
    <row r="43" spans="1:18" x14ac:dyDescent="0.25">
      <c r="A43" t="s">
        <v>141</v>
      </c>
      <c r="B43" t="s">
        <v>142</v>
      </c>
      <c r="C43" t="s">
        <v>143</v>
      </c>
      <c r="D43" t="s">
        <v>144</v>
      </c>
      <c r="E43" t="s">
        <v>145</v>
      </c>
      <c r="F43" t="s">
        <v>22</v>
      </c>
      <c r="G43" t="s">
        <v>22</v>
      </c>
      <c r="H43" t="s">
        <v>22</v>
      </c>
      <c r="I43" t="s">
        <v>27</v>
      </c>
      <c r="J43" t="s">
        <v>27</v>
      </c>
      <c r="K43" t="s">
        <v>22</v>
      </c>
      <c r="L43" t="s">
        <v>27</v>
      </c>
      <c r="M43">
        <v>2519</v>
      </c>
      <c r="N43">
        <v>3938</v>
      </c>
      <c r="O43">
        <v>5190</v>
      </c>
      <c r="P43">
        <v>8203</v>
      </c>
      <c r="Q43">
        <v>8780</v>
      </c>
      <c r="R43" s="3">
        <f>_xlfn.RRI($Q$4-$M$4,M43,Q43)</f>
        <v>0.36636455401735013</v>
      </c>
    </row>
    <row r="44" spans="1:18" x14ac:dyDescent="0.25">
      <c r="A44" t="s">
        <v>154</v>
      </c>
      <c r="B44" t="s">
        <v>155</v>
      </c>
      <c r="C44" t="s">
        <v>156</v>
      </c>
      <c r="D44" t="s">
        <v>157</v>
      </c>
      <c r="E44" t="s">
        <v>145</v>
      </c>
      <c r="F44" t="s">
        <v>22</v>
      </c>
      <c r="G44" t="s">
        <v>22</v>
      </c>
      <c r="H44" t="s">
        <v>22</v>
      </c>
      <c r="I44" t="s">
        <v>27</v>
      </c>
      <c r="J44" t="s">
        <v>27</v>
      </c>
      <c r="K44" t="s">
        <v>22</v>
      </c>
      <c r="L44" t="s">
        <v>22</v>
      </c>
      <c r="M44">
        <v>3297</v>
      </c>
      <c r="N44">
        <v>4866</v>
      </c>
      <c r="O44">
        <v>4928</v>
      </c>
      <c r="P44">
        <v>8451</v>
      </c>
      <c r="Q44">
        <v>9585</v>
      </c>
      <c r="R44" s="3">
        <f>_xlfn.RRI($Q$4-$M$4,M44,Q44)</f>
        <v>0.30577482876902251</v>
      </c>
    </row>
    <row r="45" spans="1:18" x14ac:dyDescent="0.25">
      <c r="A45" t="s">
        <v>80</v>
      </c>
      <c r="B45" t="s">
        <v>81</v>
      </c>
      <c r="C45" t="s">
        <v>82</v>
      </c>
      <c r="D45" t="s">
        <v>83</v>
      </c>
      <c r="E45" t="s">
        <v>84</v>
      </c>
      <c r="F45" t="s">
        <v>22</v>
      </c>
      <c r="G45" t="s">
        <v>22</v>
      </c>
      <c r="H45" t="s">
        <v>27</v>
      </c>
      <c r="I45" t="s">
        <v>27</v>
      </c>
      <c r="J45" t="s">
        <v>27</v>
      </c>
      <c r="K45" t="s">
        <v>27</v>
      </c>
      <c r="L45" t="s">
        <v>27</v>
      </c>
      <c r="M45">
        <v>3501</v>
      </c>
      <c r="N45">
        <v>7079</v>
      </c>
      <c r="O45">
        <v>7438</v>
      </c>
      <c r="P45">
        <v>7443</v>
      </c>
      <c r="Q45">
        <v>9225</v>
      </c>
      <c r="R45" s="3">
        <f>_xlfn.RRI($Q$4-$M$4,M45,Q45)</f>
        <v>0.27407081068210992</v>
      </c>
    </row>
    <row r="46" spans="1:18" x14ac:dyDescent="0.25">
      <c r="A46" t="s">
        <v>23</v>
      </c>
      <c r="B46" t="s">
        <v>24</v>
      </c>
      <c r="C46" t="s">
        <v>25</v>
      </c>
      <c r="D46" t="s">
        <v>26</v>
      </c>
      <c r="E46" t="s">
        <v>21</v>
      </c>
      <c r="F46" t="s">
        <v>22</v>
      </c>
      <c r="G46" t="s">
        <v>22</v>
      </c>
      <c r="H46" t="s">
        <v>22</v>
      </c>
      <c r="I46" t="s">
        <v>27</v>
      </c>
      <c r="J46" t="s">
        <v>22</v>
      </c>
      <c r="K46" t="s">
        <v>22</v>
      </c>
      <c r="L46" t="s">
        <v>22</v>
      </c>
      <c r="M46">
        <v>2786</v>
      </c>
      <c r="N46">
        <v>3804</v>
      </c>
      <c r="O46">
        <v>4121</v>
      </c>
      <c r="P46">
        <v>6210</v>
      </c>
      <c r="Q46">
        <v>6909</v>
      </c>
      <c r="R46" s="3">
        <f>_xlfn.RRI($Q$4-$M$4,M46,Q46)</f>
        <v>0.25489826874508914</v>
      </c>
    </row>
    <row r="47" spans="1:18" x14ac:dyDescent="0.25">
      <c r="A47" t="s">
        <v>137</v>
      </c>
      <c r="B47" t="s">
        <v>138</v>
      </c>
      <c r="C47" t="s">
        <v>139</v>
      </c>
      <c r="D47" t="s">
        <v>140</v>
      </c>
      <c r="E47" t="s">
        <v>84</v>
      </c>
      <c r="F47" t="s">
        <v>22</v>
      </c>
      <c r="G47" t="s">
        <v>22</v>
      </c>
      <c r="H47" t="s">
        <v>27</v>
      </c>
      <c r="I47" t="s">
        <v>27</v>
      </c>
      <c r="J47" t="s">
        <v>27</v>
      </c>
      <c r="K47" t="s">
        <v>27</v>
      </c>
      <c r="L47" t="s">
        <v>27</v>
      </c>
      <c r="M47">
        <v>2390</v>
      </c>
      <c r="N47">
        <v>2415</v>
      </c>
      <c r="O47">
        <v>3461</v>
      </c>
      <c r="P47">
        <v>3850</v>
      </c>
      <c r="Q47">
        <v>4657</v>
      </c>
      <c r="R47" s="3">
        <f>_xlfn.RRI($Q$4-$M$4,M47,Q47)</f>
        <v>0.18148193130433588</v>
      </c>
    </row>
    <row r="48" spans="1:18" x14ac:dyDescent="0.25">
      <c r="A48" t="s">
        <v>85</v>
      </c>
      <c r="B48" t="s">
        <v>86</v>
      </c>
      <c r="C48" t="s">
        <v>87</v>
      </c>
      <c r="D48" t="s">
        <v>88</v>
      </c>
      <c r="E48" t="s">
        <v>84</v>
      </c>
      <c r="F48" t="s">
        <v>22</v>
      </c>
      <c r="G48" t="s">
        <v>22</v>
      </c>
      <c r="H48" t="s">
        <v>27</v>
      </c>
      <c r="I48" t="s">
        <v>27</v>
      </c>
      <c r="J48" t="s">
        <v>27</v>
      </c>
      <c r="K48" t="s">
        <v>27</v>
      </c>
      <c r="L48" t="s">
        <v>27</v>
      </c>
      <c r="M48">
        <v>3916</v>
      </c>
      <c r="N48">
        <v>4218</v>
      </c>
      <c r="O48">
        <v>5072</v>
      </c>
      <c r="P48">
        <v>5201</v>
      </c>
      <c r="Q48">
        <v>7588</v>
      </c>
      <c r="R48" s="3">
        <f>_xlfn.RRI($Q$4-$M$4,M48,Q48)</f>
        <v>0.17983468576187267</v>
      </c>
    </row>
    <row r="49" spans="1:18" x14ac:dyDescent="0.25">
      <c r="A49" t="s">
        <v>150</v>
      </c>
      <c r="B49" t="s">
        <v>151</v>
      </c>
      <c r="C49" t="s">
        <v>152</v>
      </c>
      <c r="D49" t="s">
        <v>153</v>
      </c>
      <c r="E49" t="s">
        <v>145</v>
      </c>
      <c r="F49" t="s">
        <v>22</v>
      </c>
      <c r="G49" t="s">
        <v>22</v>
      </c>
      <c r="H49" t="s">
        <v>22</v>
      </c>
      <c r="I49" t="s">
        <v>27</v>
      </c>
      <c r="J49" t="s">
        <v>27</v>
      </c>
      <c r="K49" t="s">
        <v>22</v>
      </c>
      <c r="L49" t="s">
        <v>22</v>
      </c>
      <c r="M49">
        <v>8873</v>
      </c>
      <c r="N49">
        <v>8484</v>
      </c>
      <c r="O49">
        <v>7883</v>
      </c>
      <c r="P49">
        <v>7499</v>
      </c>
      <c r="Q49">
        <v>6592</v>
      </c>
      <c r="R49" s="3">
        <f>_xlfn.RRI($Q$4-$M$4,M49,Q49)</f>
        <v>-7.1596691853915484E-2</v>
      </c>
    </row>
    <row r="50" spans="1:18" x14ac:dyDescent="0.25">
      <c r="A50" t="s">
        <v>129</v>
      </c>
      <c r="B50" t="s">
        <v>130</v>
      </c>
      <c r="C50" t="s">
        <v>131</v>
      </c>
      <c r="D50" t="s">
        <v>132</v>
      </c>
      <c r="E50" t="s">
        <v>84</v>
      </c>
      <c r="F50" t="s">
        <v>22</v>
      </c>
      <c r="G50" t="s">
        <v>22</v>
      </c>
      <c r="H50" t="s">
        <v>27</v>
      </c>
      <c r="I50" t="s">
        <v>27</v>
      </c>
      <c r="J50" t="s">
        <v>27</v>
      </c>
      <c r="K50" t="s">
        <v>27</v>
      </c>
      <c r="L50" t="s">
        <v>27</v>
      </c>
      <c r="M50">
        <v>6309</v>
      </c>
      <c r="N50">
        <v>6227</v>
      </c>
      <c r="O50">
        <v>5123</v>
      </c>
      <c r="P50">
        <v>4968</v>
      </c>
      <c r="Q50">
        <v>3857</v>
      </c>
      <c r="R50" s="3">
        <f>_xlfn.RRI($Q$4-$M$4,M50,Q50)</f>
        <v>-0.11575568185753915</v>
      </c>
    </row>
    <row r="51" spans="1:18" x14ac:dyDescent="0.25">
      <c r="A51" t="s">
        <v>231</v>
      </c>
      <c r="B51" t="s">
        <v>232</v>
      </c>
      <c r="C51" t="s">
        <v>233</v>
      </c>
      <c r="D51" t="s">
        <v>234</v>
      </c>
      <c r="E51" t="s">
        <v>206</v>
      </c>
      <c r="F51" t="s">
        <v>22</v>
      </c>
      <c r="G51" t="s">
        <v>22</v>
      </c>
      <c r="H51" t="s">
        <v>27</v>
      </c>
      <c r="I51" t="s">
        <v>27</v>
      </c>
      <c r="J51" t="s">
        <v>27</v>
      </c>
      <c r="K51" t="s">
        <v>22</v>
      </c>
      <c r="L51" t="s">
        <v>27</v>
      </c>
      <c r="M51">
        <v>9791</v>
      </c>
      <c r="N51">
        <v>9610</v>
      </c>
      <c r="O51">
        <v>7534</v>
      </c>
      <c r="P51">
        <v>5080</v>
      </c>
      <c r="Q51">
        <v>4936</v>
      </c>
      <c r="R51" s="3">
        <f>_xlfn.RRI($Q$4-$M$4,M51,Q51)</f>
        <v>-0.15736979056747447</v>
      </c>
    </row>
    <row r="52" spans="1:18" x14ac:dyDescent="0.25">
      <c r="A52" t="s">
        <v>190</v>
      </c>
      <c r="B52" t="s">
        <v>191</v>
      </c>
      <c r="C52" t="s">
        <v>192</v>
      </c>
      <c r="D52" t="s">
        <v>193</v>
      </c>
      <c r="E52" t="s">
        <v>145</v>
      </c>
      <c r="F52" t="s">
        <v>22</v>
      </c>
      <c r="G52" t="s">
        <v>22</v>
      </c>
      <c r="H52" t="s">
        <v>27</v>
      </c>
      <c r="I52" t="s">
        <v>27</v>
      </c>
      <c r="J52" t="s">
        <v>27</v>
      </c>
      <c r="K52" t="s">
        <v>27</v>
      </c>
      <c r="L52" t="s">
        <v>27</v>
      </c>
      <c r="M52">
        <v>8891</v>
      </c>
      <c r="N52">
        <v>5952</v>
      </c>
      <c r="O52">
        <v>5914</v>
      </c>
      <c r="P52">
        <v>5405</v>
      </c>
      <c r="Q52">
        <v>4031</v>
      </c>
      <c r="R52" s="3">
        <f>_xlfn.RRI($Q$4-$M$4,M52,Q52)</f>
        <v>-0.17943016656995925</v>
      </c>
    </row>
    <row r="53" spans="1:18" x14ac:dyDescent="0.25">
      <c r="A53" t="s">
        <v>93</v>
      </c>
      <c r="B53" t="s">
        <v>94</v>
      </c>
      <c r="C53" t="s">
        <v>95</v>
      </c>
      <c r="D53" t="s">
        <v>96</v>
      </c>
      <c r="E53" t="s">
        <v>84</v>
      </c>
      <c r="F53" t="s">
        <v>22</v>
      </c>
      <c r="G53" t="s">
        <v>22</v>
      </c>
      <c r="H53" t="s">
        <v>27</v>
      </c>
      <c r="I53" t="s">
        <v>27</v>
      </c>
      <c r="J53" t="s">
        <v>27</v>
      </c>
      <c r="K53" t="s">
        <v>27</v>
      </c>
      <c r="L53" t="s">
        <v>27</v>
      </c>
      <c r="M53">
        <v>9773</v>
      </c>
      <c r="N53">
        <v>9179</v>
      </c>
      <c r="O53">
        <v>8390</v>
      </c>
      <c r="P53">
        <v>8256</v>
      </c>
      <c r="Q53">
        <v>3815</v>
      </c>
      <c r="R53" s="3">
        <f>_xlfn.RRI($Q$4-$M$4,M53,Q53)</f>
        <v>-0.20956409258224717</v>
      </c>
    </row>
    <row r="54" spans="1:18" x14ac:dyDescent="0.25">
      <c r="A54" t="s">
        <v>247</v>
      </c>
      <c r="B54" t="s">
        <v>248</v>
      </c>
      <c r="C54" t="s">
        <v>249</v>
      </c>
      <c r="D54" t="s">
        <v>250</v>
      </c>
      <c r="E54" t="s">
        <v>206</v>
      </c>
      <c r="F54" t="s">
        <v>22</v>
      </c>
      <c r="G54" t="s">
        <v>27</v>
      </c>
      <c r="H54" t="s">
        <v>27</v>
      </c>
      <c r="I54" t="s">
        <v>27</v>
      </c>
      <c r="J54" t="s">
        <v>27</v>
      </c>
      <c r="K54" t="s">
        <v>27</v>
      </c>
      <c r="L54" t="s">
        <v>27</v>
      </c>
      <c r="M54">
        <v>8034</v>
      </c>
      <c r="N54">
        <v>6541</v>
      </c>
      <c r="O54">
        <v>3311</v>
      </c>
      <c r="P54">
        <v>3254</v>
      </c>
      <c r="Q54">
        <v>2687</v>
      </c>
      <c r="R54" s="3">
        <f>_xlfn.RRI($Q$4-$M$4,M54,Q54)</f>
        <v>-0.23952671916055424</v>
      </c>
    </row>
    <row r="55" spans="1:18" x14ac:dyDescent="0.25">
      <c r="A55" t="s">
        <v>60</v>
      </c>
      <c r="B55" t="s">
        <v>61</v>
      </c>
      <c r="C55" t="s">
        <v>62</v>
      </c>
      <c r="D55" t="s">
        <v>63</v>
      </c>
      <c r="E55" t="s">
        <v>21</v>
      </c>
      <c r="F55" t="s">
        <v>22</v>
      </c>
      <c r="G55" t="s">
        <v>27</v>
      </c>
      <c r="H55" t="s">
        <v>27</v>
      </c>
      <c r="I55" t="s">
        <v>27</v>
      </c>
      <c r="J55" t="s">
        <v>27</v>
      </c>
      <c r="K55" t="s">
        <v>27</v>
      </c>
      <c r="L55" t="s">
        <v>27</v>
      </c>
      <c r="M55">
        <v>7555</v>
      </c>
      <c r="N55">
        <v>6551</v>
      </c>
      <c r="O55">
        <v>5188</v>
      </c>
      <c r="P55">
        <v>3436</v>
      </c>
      <c r="Q55">
        <v>2359</v>
      </c>
      <c r="R55" s="3">
        <f>_xlfn.RRI($Q$4-$M$4,M55,Q55)</f>
        <v>-0.25247905109930902</v>
      </c>
    </row>
    <row r="56" spans="1:18" x14ac:dyDescent="0.25">
      <c r="A56" t="s">
        <v>52</v>
      </c>
      <c r="B56" t="s">
        <v>53</v>
      </c>
      <c r="C56" t="s">
        <v>54</v>
      </c>
      <c r="D56" t="s">
        <v>55</v>
      </c>
      <c r="E56" t="s">
        <v>21</v>
      </c>
      <c r="F56" t="s">
        <v>22</v>
      </c>
      <c r="G56" t="s">
        <v>27</v>
      </c>
      <c r="H56" t="s">
        <v>27</v>
      </c>
      <c r="I56" t="s">
        <v>27</v>
      </c>
      <c r="J56" t="s">
        <v>27</v>
      </c>
      <c r="K56" t="s">
        <v>22</v>
      </c>
      <c r="L56" t="s">
        <v>27</v>
      </c>
      <c r="M56">
        <v>9766</v>
      </c>
      <c r="N56">
        <v>8049</v>
      </c>
      <c r="O56">
        <v>5556</v>
      </c>
      <c r="P56">
        <v>5202</v>
      </c>
      <c r="Q56">
        <v>2373</v>
      </c>
      <c r="R56" s="3">
        <f>_xlfn.RRI($Q$4-$M$4,M56,Q56)</f>
        <v>-0.29790601141591733</v>
      </c>
    </row>
    <row r="57" spans="1:18" x14ac:dyDescent="0.25">
      <c r="A57" t="s">
        <v>215</v>
      </c>
      <c r="B57" t="s">
        <v>216</v>
      </c>
      <c r="C57" t="s">
        <v>217</v>
      </c>
      <c r="D57" t="s">
        <v>218</v>
      </c>
      <c r="E57" t="s">
        <v>206</v>
      </c>
      <c r="F57" t="s">
        <v>22</v>
      </c>
      <c r="G57" t="s">
        <v>27</v>
      </c>
      <c r="H57" t="s">
        <v>27</v>
      </c>
      <c r="I57" t="s">
        <v>27</v>
      </c>
      <c r="J57" t="s">
        <v>27</v>
      </c>
      <c r="K57" t="s">
        <v>22</v>
      </c>
      <c r="L57" t="s">
        <v>27</v>
      </c>
      <c r="M57">
        <v>8466</v>
      </c>
      <c r="N57">
        <v>4079</v>
      </c>
      <c r="O57">
        <v>2797</v>
      </c>
      <c r="P57">
        <v>2245</v>
      </c>
      <c r="Q57">
        <v>1696</v>
      </c>
      <c r="R57" s="3">
        <f>_xlfn.RRI($Q$4-$M$4,M57,Q57)</f>
        <v>-0.33098339677163802</v>
      </c>
    </row>
    <row r="58" spans="1:18" x14ac:dyDescent="0.25">
      <c r="A58" t="s">
        <v>170</v>
      </c>
      <c r="B58" t="s">
        <v>171</v>
      </c>
      <c r="C58" t="s">
        <v>172</v>
      </c>
      <c r="D58" t="s">
        <v>173</v>
      </c>
      <c r="E58" t="s">
        <v>145</v>
      </c>
      <c r="F58" t="s">
        <v>22</v>
      </c>
      <c r="G58" t="s">
        <v>27</v>
      </c>
      <c r="H58" t="s">
        <v>27</v>
      </c>
      <c r="I58" t="s">
        <v>27</v>
      </c>
      <c r="J58" t="s">
        <v>27</v>
      </c>
      <c r="K58" t="s">
        <v>22</v>
      </c>
      <c r="L58" t="s">
        <v>22</v>
      </c>
      <c r="M58">
        <v>7703</v>
      </c>
      <c r="N58">
        <v>6957</v>
      </c>
      <c r="O58">
        <v>3898</v>
      </c>
      <c r="P58">
        <v>1857</v>
      </c>
      <c r="Q58">
        <v>1512</v>
      </c>
      <c r="R58" s="3">
        <f>_xlfn.RRI($Q$4-$M$4,M58,Q58)</f>
        <v>-0.33438519484677687</v>
      </c>
    </row>
    <row r="59" spans="1:18" x14ac:dyDescent="0.25">
      <c r="A59" t="s">
        <v>121</v>
      </c>
      <c r="B59" t="s">
        <v>122</v>
      </c>
      <c r="C59" t="s">
        <v>123</v>
      </c>
      <c r="D59" t="s">
        <v>124</v>
      </c>
      <c r="E59" t="s">
        <v>84</v>
      </c>
      <c r="F59" t="s">
        <v>22</v>
      </c>
      <c r="G59" t="s">
        <v>27</v>
      </c>
      <c r="H59" t="s">
        <v>27</v>
      </c>
      <c r="I59" t="s">
        <v>27</v>
      </c>
      <c r="J59" t="s">
        <v>22</v>
      </c>
      <c r="K59" t="s">
        <v>27</v>
      </c>
      <c r="L59" t="s">
        <v>27</v>
      </c>
      <c r="M59">
        <v>6156</v>
      </c>
      <c r="N59">
        <v>6110</v>
      </c>
      <c r="O59">
        <v>5791</v>
      </c>
      <c r="P59">
        <v>1759</v>
      </c>
      <c r="Q59">
        <v>969</v>
      </c>
      <c r="R59" s="3">
        <f>_xlfn.RRI($Q$4-$M$4,M59,Q59)</f>
        <v>-0.37012221518144006</v>
      </c>
    </row>
    <row r="60" spans="1:18" x14ac:dyDescent="0.25">
      <c r="A60" t="s">
        <v>182</v>
      </c>
      <c r="B60" t="s">
        <v>183</v>
      </c>
      <c r="C60" t="s">
        <v>184</v>
      </c>
      <c r="D60" t="s">
        <v>185</v>
      </c>
      <c r="E60" t="s">
        <v>145</v>
      </c>
      <c r="F60" t="s">
        <v>22</v>
      </c>
      <c r="G60" t="s">
        <v>27</v>
      </c>
      <c r="H60" t="s">
        <v>27</v>
      </c>
      <c r="I60" t="s">
        <v>27</v>
      </c>
      <c r="J60" t="s">
        <v>27</v>
      </c>
      <c r="K60" t="s">
        <v>22</v>
      </c>
      <c r="L60" t="s">
        <v>22</v>
      </c>
      <c r="M60">
        <v>7840</v>
      </c>
      <c r="N60">
        <v>5804</v>
      </c>
      <c r="O60">
        <v>4259</v>
      </c>
      <c r="P60">
        <v>4243</v>
      </c>
      <c r="Q60">
        <v>907</v>
      </c>
      <c r="R60" s="3">
        <f>_xlfn.RRI($Q$4-$M$4,M60,Q60)</f>
        <v>-0.41679289513417705</v>
      </c>
    </row>
    <row r="61" spans="1:18" x14ac:dyDescent="0.25">
      <c r="A61" t="s">
        <v>109</v>
      </c>
      <c r="B61" t="s">
        <v>110</v>
      </c>
      <c r="C61" t="s">
        <v>111</v>
      </c>
      <c r="D61" t="s">
        <v>112</v>
      </c>
      <c r="E61" t="s">
        <v>84</v>
      </c>
      <c r="F61" t="s">
        <v>22</v>
      </c>
      <c r="G61" t="s">
        <v>27</v>
      </c>
      <c r="H61" t="s">
        <v>27</v>
      </c>
      <c r="I61" t="s">
        <v>27</v>
      </c>
      <c r="J61" t="s">
        <v>22</v>
      </c>
      <c r="K61" t="s">
        <v>27</v>
      </c>
      <c r="L61" t="s">
        <v>27</v>
      </c>
      <c r="M61">
        <v>8331</v>
      </c>
      <c r="N61">
        <v>7667</v>
      </c>
      <c r="O61">
        <v>5952</v>
      </c>
      <c r="P61">
        <v>1998</v>
      </c>
      <c r="Q61">
        <v>375</v>
      </c>
      <c r="R61" s="3">
        <f>_xlfn.RRI($Q$4-$M$4,M61,Q61)</f>
        <v>-0.53938981874158332</v>
      </c>
    </row>
    <row r="62" spans="1:18" x14ac:dyDescent="0.25">
      <c r="A62" t="s">
        <v>76</v>
      </c>
      <c r="B62" t="s">
        <v>77</v>
      </c>
      <c r="C62" t="s">
        <v>78</v>
      </c>
      <c r="D62" t="s">
        <v>79</v>
      </c>
      <c r="E62" t="s">
        <v>21</v>
      </c>
      <c r="F62" t="s">
        <v>22</v>
      </c>
      <c r="G62" t="s">
        <v>22</v>
      </c>
      <c r="H62" t="s">
        <v>27</v>
      </c>
      <c r="I62" t="s">
        <v>27</v>
      </c>
      <c r="J62" t="s">
        <v>27</v>
      </c>
      <c r="K62" t="s">
        <v>27</v>
      </c>
      <c r="L62" t="s">
        <v>27</v>
      </c>
      <c r="M62">
        <v>9058</v>
      </c>
      <c r="N62">
        <v>4839</v>
      </c>
      <c r="O62">
        <v>4776</v>
      </c>
      <c r="P62">
        <v>4024</v>
      </c>
      <c r="Q62">
        <v>369</v>
      </c>
      <c r="R62" s="3">
        <f>_xlfn.RRI($Q$4-$M$4,M62,Q62)</f>
        <v>-0.55073921414194782</v>
      </c>
    </row>
    <row r="63" spans="1:18" x14ac:dyDescent="0.25">
      <c r="A63" t="s">
        <v>44</v>
      </c>
      <c r="B63" t="s">
        <v>45</v>
      </c>
      <c r="C63" t="s">
        <v>46</v>
      </c>
      <c r="D63" t="s">
        <v>47</v>
      </c>
      <c r="E63" t="s">
        <v>21</v>
      </c>
      <c r="F63" t="s">
        <v>22</v>
      </c>
      <c r="G63" t="s">
        <v>27</v>
      </c>
      <c r="H63" t="s">
        <v>27</v>
      </c>
      <c r="I63" t="s">
        <v>27</v>
      </c>
      <c r="J63" t="s">
        <v>27</v>
      </c>
      <c r="K63" t="s">
        <v>22</v>
      </c>
      <c r="L63" t="s">
        <v>27</v>
      </c>
      <c r="M63">
        <v>9252</v>
      </c>
      <c r="N63">
        <v>8499</v>
      </c>
      <c r="O63">
        <v>991</v>
      </c>
      <c r="P63">
        <v>448</v>
      </c>
      <c r="Q63">
        <v>211</v>
      </c>
      <c r="R63" s="3">
        <f>_xlfn.RRI($Q$4-$M$4,M63,Q63)</f>
        <v>-0.61139202601329412</v>
      </c>
    </row>
    <row r="64" spans="1:18" x14ac:dyDescent="0.25">
      <c r="A64" t="s">
        <v>202</v>
      </c>
      <c r="B64" t="s">
        <v>203</v>
      </c>
      <c r="C64" t="s">
        <v>204</v>
      </c>
      <c r="D64" t="s">
        <v>205</v>
      </c>
      <c r="E64" t="s">
        <v>206</v>
      </c>
      <c r="F64" t="s">
        <v>22</v>
      </c>
      <c r="G64" t="s">
        <v>27</v>
      </c>
      <c r="H64" t="s">
        <v>27</v>
      </c>
      <c r="I64" t="s">
        <v>27</v>
      </c>
      <c r="J64" t="s">
        <v>27</v>
      </c>
      <c r="K64" t="s">
        <v>22</v>
      </c>
      <c r="L64" t="s">
        <v>27</v>
      </c>
      <c r="M64">
        <v>8156</v>
      </c>
      <c r="N64">
        <v>1245</v>
      </c>
      <c r="O64">
        <v>791</v>
      </c>
      <c r="P64">
        <v>338</v>
      </c>
      <c r="Q64">
        <v>44</v>
      </c>
      <c r="R64" s="3">
        <f>_xlfn.RRI($Q$4-$M$4,M64,Q64)</f>
        <v>-0.72898466539472961</v>
      </c>
    </row>
  </sheetData>
  <sortState xmlns:xlrd2="http://schemas.microsoft.com/office/spreadsheetml/2017/richdata2" columnSort="1" ref="M64:Q64">
    <sortCondition ref="M64:Q64"/>
  </sortState>
  <mergeCells count="4">
    <mergeCell ref="I3:L3"/>
    <mergeCell ref="M3:Q3"/>
    <mergeCell ref="F3:H3"/>
    <mergeCell ref="A1:C1"/>
  </mergeCells>
  <phoneticPr fontId="3" type="noConversion"/>
  <conditionalFormatting sqref="A4:R64">
    <cfRule type="expression" dxfId="12" priority="5">
      <formula>ISBLANK(A4)</formula>
    </cfRule>
    <cfRule type="expression" dxfId="11" priority="8">
      <formula>ISERROR(A4)</formula>
    </cfRule>
  </conditionalFormatting>
  <conditionalFormatting sqref="G4:G64">
    <cfRule type="containsText" dxfId="10" priority="4" operator="containsText" text="no">
      <formula>NOT(ISERROR(SEARCH("no",G4)))</formula>
    </cfRule>
  </conditionalFormatting>
  <conditionalFormatting sqref="R5:R64">
    <cfRule type="cellIs" dxfId="9" priority="2" operator="lessThan">
      <formula>0</formula>
    </cfRule>
    <cfRule type="cellIs" dxfId="8" priority="3" operator="greaterThanOrEqual">
      <formula>1</formula>
    </cfRule>
  </conditionalFormatting>
  <conditionalFormatting sqref="Q5:Q64">
    <cfRule type="top10" dxfId="7" priority="1" percent="1" rank="10"/>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ortDby2021">
                <anchor moveWithCells="1" sizeWithCells="1">
                  <from>
                    <xdr:col>5</xdr:col>
                    <xdr:colOff>466725</xdr:colOff>
                    <xdr:row>0</xdr:row>
                    <xdr:rowOff>9525</xdr:rowOff>
                  </from>
                  <to>
                    <xdr:col>8</xdr:col>
                    <xdr:colOff>0</xdr:colOff>
                    <xdr:row>1</xdr:row>
                    <xdr:rowOff>9525</xdr:rowOff>
                  </to>
                </anchor>
              </controlPr>
            </control>
          </mc:Choice>
        </mc:AlternateContent>
        <mc:AlternateContent xmlns:mc="http://schemas.openxmlformats.org/markup-compatibility/2006">
          <mc:Choice Requires="x14">
            <control shapeId="1027" r:id="rId5" name="Button 3">
              <controlPr defaultSize="0" print="0" autoFill="0" autoPict="0" macro="[0]!SortDbyCAGR">
                <anchor moveWithCells="1" sizeWithCells="1">
                  <from>
                    <xdr:col>3</xdr:col>
                    <xdr:colOff>361950</xdr:colOff>
                    <xdr:row>0</xdr:row>
                    <xdr:rowOff>38100</xdr:rowOff>
                  </from>
                  <to>
                    <xdr:col>5</xdr:col>
                    <xdr:colOff>9525</xdr:colOff>
                    <xdr:row>1</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6D32-D20B-4AF6-87AA-730EB78FC55D}">
  <dimension ref="A3:S64"/>
  <sheetViews>
    <sheetView topLeftCell="C1" workbookViewId="0">
      <selection activeCell="S7" sqref="S7"/>
    </sheetView>
  </sheetViews>
  <sheetFormatPr defaultRowHeight="15" x14ac:dyDescent="0.25"/>
  <cols>
    <col min="1" max="1" width="17.140625" bestFit="1" customWidth="1"/>
    <col min="2" max="2" width="41.42578125" bestFit="1" customWidth="1"/>
    <col min="3" max="3" width="41.42578125" customWidth="1"/>
    <col min="4" max="4" width="17.85546875" bestFit="1" customWidth="1"/>
    <col min="5" max="5" width="17.28515625" bestFit="1" customWidth="1"/>
    <col min="6" max="6" width="19.140625" bestFit="1" customWidth="1"/>
    <col min="7" max="7" width="11.85546875" bestFit="1" customWidth="1"/>
    <col min="8" max="9" width="12" bestFit="1" customWidth="1"/>
    <col min="10" max="10" width="15" bestFit="1" customWidth="1"/>
    <col min="11" max="11" width="11.28515625" bestFit="1" customWidth="1"/>
    <col min="12" max="12" width="19.5703125" bestFit="1" customWidth="1"/>
    <col min="13" max="13" width="9.85546875" bestFit="1" customWidth="1"/>
    <col min="14" max="16" width="7.140625" bestFit="1" customWidth="1"/>
    <col min="17" max="17" width="7.28515625" bestFit="1" customWidth="1"/>
    <col min="18" max="18" width="7.140625" bestFit="1" customWidth="1"/>
    <col min="19" max="19" width="14.140625" bestFit="1" customWidth="1"/>
  </cols>
  <sheetData>
    <row r="3" spans="1:19" x14ac:dyDescent="0.25">
      <c r="A3" s="1"/>
      <c r="B3" s="1"/>
      <c r="C3" s="1"/>
      <c r="D3" s="1"/>
      <c r="E3" s="1"/>
      <c r="F3" s="1"/>
      <c r="G3" s="8" t="s">
        <v>1</v>
      </c>
      <c r="H3" s="9"/>
      <c r="I3" s="9"/>
      <c r="J3" s="4" t="s">
        <v>2</v>
      </c>
      <c r="K3" s="5"/>
      <c r="L3" s="5"/>
      <c r="M3" s="5"/>
      <c r="N3" s="6" t="s">
        <v>3</v>
      </c>
      <c r="O3" s="7"/>
      <c r="P3" s="7"/>
      <c r="Q3" s="7"/>
      <c r="R3" s="7"/>
      <c r="S3" s="2"/>
    </row>
    <row r="4" spans="1:19" x14ac:dyDescent="0.25">
      <c r="A4" s="1" t="s">
        <v>4</v>
      </c>
      <c r="B4" s="1" t="s">
        <v>5</v>
      </c>
      <c r="C4" s="1" t="s">
        <v>263</v>
      </c>
      <c r="D4" s="1" t="s">
        <v>6</v>
      </c>
      <c r="E4" s="1" t="s">
        <v>7</v>
      </c>
      <c r="F4" s="1" t="s">
        <v>8</v>
      </c>
      <c r="G4" s="1" t="s">
        <v>9</v>
      </c>
      <c r="H4" s="1" t="s">
        <v>10</v>
      </c>
      <c r="I4" s="1" t="s">
        <v>11</v>
      </c>
      <c r="J4" s="1" t="s">
        <v>12</v>
      </c>
      <c r="K4" s="1" t="s">
        <v>13</v>
      </c>
      <c r="L4" s="1" t="s">
        <v>14</v>
      </c>
      <c r="M4" s="1" t="s">
        <v>15</v>
      </c>
      <c r="N4" s="1" t="s">
        <v>264</v>
      </c>
      <c r="O4" s="1" t="s">
        <v>265</v>
      </c>
      <c r="P4" s="1" t="s">
        <v>266</v>
      </c>
      <c r="Q4" s="1" t="s">
        <v>267</v>
      </c>
      <c r="R4" s="1" t="s">
        <v>268</v>
      </c>
      <c r="S4" s="1" t="s">
        <v>16</v>
      </c>
    </row>
    <row r="5" spans="1:19" x14ac:dyDescent="0.25">
      <c r="A5" t="s">
        <v>48</v>
      </c>
      <c r="B5" t="s">
        <v>49</v>
      </c>
      <c r="C5" t="s">
        <v>289</v>
      </c>
      <c r="D5" t="s">
        <v>50</v>
      </c>
      <c r="E5" t="s">
        <v>51</v>
      </c>
      <c r="F5" t="s">
        <v>21</v>
      </c>
      <c r="G5" t="s">
        <v>22</v>
      </c>
      <c r="J5" t="s">
        <v>22</v>
      </c>
      <c r="K5" t="s">
        <v>27</v>
      </c>
      <c r="L5" t="s">
        <v>22</v>
      </c>
      <c r="M5" t="s">
        <v>27</v>
      </c>
      <c r="N5">
        <v>1581</v>
      </c>
      <c r="O5">
        <v>4799</v>
      </c>
      <c r="P5">
        <v>6582</v>
      </c>
      <c r="Q5">
        <v>9024</v>
      </c>
      <c r="R5">
        <v>9759</v>
      </c>
      <c r="S5" s="15">
        <f>IFERROR(_xlfn.RRI($R$3-$N$3,N5,R5),0)</f>
        <v>0</v>
      </c>
    </row>
    <row r="6" spans="1:19" x14ac:dyDescent="0.25">
      <c r="A6" t="s">
        <v>32</v>
      </c>
      <c r="B6" t="s">
        <v>33</v>
      </c>
      <c r="C6" t="s">
        <v>287</v>
      </c>
      <c r="D6" t="s">
        <v>34</v>
      </c>
      <c r="E6" t="s">
        <v>35</v>
      </c>
      <c r="F6" t="s">
        <v>21</v>
      </c>
      <c r="G6" t="s">
        <v>22</v>
      </c>
      <c r="H6" t="s">
        <v>22</v>
      </c>
      <c r="I6" t="s">
        <v>22</v>
      </c>
      <c r="J6" t="s">
        <v>22</v>
      </c>
      <c r="K6" t="s">
        <v>22</v>
      </c>
      <c r="L6" t="s">
        <v>22</v>
      </c>
      <c r="M6" t="s">
        <v>22</v>
      </c>
      <c r="N6">
        <v>906</v>
      </c>
      <c r="O6">
        <v>1251</v>
      </c>
      <c r="P6">
        <v>2897</v>
      </c>
      <c r="Q6">
        <v>4499</v>
      </c>
      <c r="R6">
        <v>9428</v>
      </c>
      <c r="S6" s="15">
        <f>IFERROR(_xlfn.RRI($R$3-$N$3,N6,R6),0)</f>
        <v>0</v>
      </c>
    </row>
    <row r="7" spans="1:19" x14ac:dyDescent="0.25">
      <c r="A7" t="s">
        <v>68</v>
      </c>
      <c r="B7" t="s">
        <v>69</v>
      </c>
      <c r="C7" t="s">
        <v>289</v>
      </c>
      <c r="D7" t="s">
        <v>70</v>
      </c>
      <c r="E7" t="s">
        <v>71</v>
      </c>
      <c r="F7" t="s">
        <v>21</v>
      </c>
      <c r="G7" t="s">
        <v>22</v>
      </c>
      <c r="J7" t="s">
        <v>22</v>
      </c>
      <c r="M7" t="s">
        <v>22</v>
      </c>
      <c r="N7">
        <v>24</v>
      </c>
      <c r="O7">
        <v>1797</v>
      </c>
      <c r="P7">
        <v>3548</v>
      </c>
      <c r="Q7">
        <v>3668</v>
      </c>
      <c r="R7">
        <v>8592</v>
      </c>
      <c r="S7" s="15">
        <f>_xlfn.RRI($R$4-$N$4,N7,R7)</f>
        <v>3.3498147004699526</v>
      </c>
    </row>
    <row r="8" spans="1:19" x14ac:dyDescent="0.25">
      <c r="A8" t="s">
        <v>97</v>
      </c>
      <c r="B8" t="s">
        <v>98</v>
      </c>
      <c r="C8" t="s">
        <v>290</v>
      </c>
      <c r="D8" t="s">
        <v>99</v>
      </c>
      <c r="E8" t="s">
        <v>100</v>
      </c>
      <c r="F8" t="s">
        <v>84</v>
      </c>
      <c r="G8" t="s">
        <v>22</v>
      </c>
      <c r="H8" t="s">
        <v>22</v>
      </c>
      <c r="I8" t="s">
        <v>27</v>
      </c>
      <c r="J8" t="s">
        <v>22</v>
      </c>
      <c r="K8" t="s">
        <v>27</v>
      </c>
      <c r="L8" t="s">
        <v>22</v>
      </c>
      <c r="M8" t="s">
        <v>27</v>
      </c>
      <c r="N8">
        <v>73</v>
      </c>
      <c r="O8">
        <v>3485</v>
      </c>
      <c r="P8">
        <v>4592</v>
      </c>
      <c r="Q8">
        <v>5143</v>
      </c>
      <c r="R8">
        <v>8100</v>
      </c>
      <c r="S8" s="15">
        <f>_xlfn.RRI($R$4-$N$4,N8,R8)</f>
        <v>2.2455667067018901</v>
      </c>
    </row>
    <row r="9" spans="1:19" x14ac:dyDescent="0.25">
      <c r="A9" t="s">
        <v>146</v>
      </c>
      <c r="B9" t="s">
        <v>147</v>
      </c>
      <c r="C9" t="s">
        <v>291</v>
      </c>
      <c r="D9" t="s">
        <v>148</v>
      </c>
      <c r="E9" t="s">
        <v>149</v>
      </c>
      <c r="F9" t="s">
        <v>145</v>
      </c>
      <c r="G9" t="s">
        <v>22</v>
      </c>
      <c r="H9" t="s">
        <v>22</v>
      </c>
      <c r="I9" t="s">
        <v>22</v>
      </c>
      <c r="J9" t="s">
        <v>22</v>
      </c>
      <c r="K9" t="s">
        <v>22</v>
      </c>
      <c r="L9" t="s">
        <v>22</v>
      </c>
      <c r="M9" t="s">
        <v>27</v>
      </c>
      <c r="N9">
        <v>138</v>
      </c>
      <c r="O9">
        <v>286</v>
      </c>
      <c r="P9">
        <v>6750</v>
      </c>
      <c r="Q9">
        <v>8254</v>
      </c>
      <c r="R9">
        <v>8656</v>
      </c>
      <c r="S9" s="15">
        <f>_xlfn.RRI($R$4-$N$4,N9,R9)</f>
        <v>1.8142296888697582</v>
      </c>
    </row>
    <row r="10" spans="1:19" x14ac:dyDescent="0.25">
      <c r="A10" t="s">
        <v>243</v>
      </c>
      <c r="B10" t="s">
        <v>244</v>
      </c>
      <c r="C10" t="s">
        <v>287</v>
      </c>
      <c r="D10" t="s">
        <v>245</v>
      </c>
      <c r="E10" t="s">
        <v>246</v>
      </c>
      <c r="F10" t="s">
        <v>206</v>
      </c>
      <c r="G10" t="s">
        <v>22</v>
      </c>
      <c r="H10" t="s">
        <v>22</v>
      </c>
      <c r="I10" t="s">
        <v>22</v>
      </c>
      <c r="J10" t="s">
        <v>27</v>
      </c>
      <c r="K10" t="s">
        <v>27</v>
      </c>
      <c r="L10" t="s">
        <v>22</v>
      </c>
      <c r="M10" t="s">
        <v>27</v>
      </c>
      <c r="N10">
        <v>128</v>
      </c>
      <c r="O10">
        <v>416</v>
      </c>
      <c r="P10">
        <v>747</v>
      </c>
      <c r="Q10">
        <v>1028</v>
      </c>
      <c r="R10">
        <v>6357</v>
      </c>
      <c r="S10" s="15">
        <f>_xlfn.RRI($R$4-$N$4,N10,R10)</f>
        <v>1.6546701130112136</v>
      </c>
    </row>
    <row r="11" spans="1:19" x14ac:dyDescent="0.25">
      <c r="A11" t="s">
        <v>125</v>
      </c>
      <c r="B11" t="s">
        <v>126</v>
      </c>
      <c r="C11" t="s">
        <v>290</v>
      </c>
      <c r="D11" t="s">
        <v>127</v>
      </c>
      <c r="E11" t="s">
        <v>128</v>
      </c>
      <c r="F11" t="s">
        <v>84</v>
      </c>
      <c r="G11" t="s">
        <v>22</v>
      </c>
      <c r="H11" t="s">
        <v>22</v>
      </c>
      <c r="I11" t="s">
        <v>27</v>
      </c>
      <c r="J11" t="s">
        <v>22</v>
      </c>
      <c r="K11" t="s">
        <v>22</v>
      </c>
      <c r="L11" t="s">
        <v>22</v>
      </c>
      <c r="M11" t="s">
        <v>27</v>
      </c>
      <c r="N11">
        <v>209</v>
      </c>
      <c r="O11">
        <v>621</v>
      </c>
      <c r="P11">
        <v>3098</v>
      </c>
      <c r="Q11">
        <v>7118</v>
      </c>
      <c r="R11">
        <v>8433</v>
      </c>
      <c r="S11" s="15">
        <f>_xlfn.RRI($R$4-$N$4,N11,R11)</f>
        <v>1.5203389637502625</v>
      </c>
    </row>
    <row r="12" spans="1:19" x14ac:dyDescent="0.25">
      <c r="A12" t="s">
        <v>101</v>
      </c>
      <c r="B12" t="s">
        <v>102</v>
      </c>
      <c r="C12" t="s">
        <v>287</v>
      </c>
      <c r="D12" t="s">
        <v>103</v>
      </c>
      <c r="E12" t="s">
        <v>104</v>
      </c>
      <c r="F12" t="s">
        <v>84</v>
      </c>
      <c r="G12" t="s">
        <v>22</v>
      </c>
      <c r="H12" t="s">
        <v>22</v>
      </c>
      <c r="I12" t="s">
        <v>27</v>
      </c>
      <c r="J12" t="s">
        <v>22</v>
      </c>
      <c r="K12" t="s">
        <v>27</v>
      </c>
      <c r="L12" t="s">
        <v>22</v>
      </c>
      <c r="M12" t="s">
        <v>27</v>
      </c>
      <c r="N12">
        <v>238</v>
      </c>
      <c r="O12">
        <v>1235</v>
      </c>
      <c r="P12">
        <v>1822</v>
      </c>
      <c r="Q12">
        <v>7074</v>
      </c>
      <c r="R12">
        <v>8207</v>
      </c>
      <c r="S12" s="15">
        <f>_xlfn.RRI($R$4-$N$4,N12,R12)</f>
        <v>1.4232703532020747</v>
      </c>
    </row>
    <row r="13" spans="1:19" x14ac:dyDescent="0.25">
      <c r="A13" t="s">
        <v>207</v>
      </c>
      <c r="B13" t="s">
        <v>208</v>
      </c>
      <c r="C13" t="s">
        <v>287</v>
      </c>
      <c r="D13" t="s">
        <v>209</v>
      </c>
      <c r="E13" t="s">
        <v>210</v>
      </c>
      <c r="F13" t="s">
        <v>206</v>
      </c>
      <c r="G13" t="s">
        <v>22</v>
      </c>
      <c r="H13" t="s">
        <v>22</v>
      </c>
      <c r="I13" t="s">
        <v>22</v>
      </c>
      <c r="J13" t="s">
        <v>27</v>
      </c>
      <c r="K13" t="s">
        <v>27</v>
      </c>
      <c r="L13" t="s">
        <v>22</v>
      </c>
      <c r="M13" t="s">
        <v>27</v>
      </c>
      <c r="N13">
        <v>299</v>
      </c>
      <c r="O13">
        <v>657</v>
      </c>
      <c r="P13">
        <v>6238</v>
      </c>
      <c r="Q13">
        <v>8922</v>
      </c>
      <c r="R13">
        <v>9081</v>
      </c>
      <c r="S13" s="15">
        <f>_xlfn.RRI($R$4-$N$4,N13,R13)</f>
        <v>1.3475541667800686</v>
      </c>
    </row>
    <row r="14" spans="1:19" x14ac:dyDescent="0.25">
      <c r="A14" t="s">
        <v>178</v>
      </c>
      <c r="B14" t="s">
        <v>179</v>
      </c>
      <c r="C14" t="s">
        <v>290</v>
      </c>
      <c r="D14" t="s">
        <v>180</v>
      </c>
      <c r="E14" t="s">
        <v>181</v>
      </c>
      <c r="F14" t="s">
        <v>145</v>
      </c>
      <c r="G14" t="s">
        <v>22</v>
      </c>
      <c r="H14" t="s">
        <v>22</v>
      </c>
      <c r="I14" t="s">
        <v>22</v>
      </c>
      <c r="J14" t="s">
        <v>22</v>
      </c>
      <c r="K14" t="s">
        <v>22</v>
      </c>
      <c r="L14" t="s">
        <v>22</v>
      </c>
      <c r="M14" t="s">
        <v>22</v>
      </c>
      <c r="N14">
        <v>376</v>
      </c>
      <c r="O14">
        <v>889</v>
      </c>
      <c r="P14">
        <v>4373</v>
      </c>
      <c r="Q14">
        <v>6803</v>
      </c>
      <c r="R14">
        <v>7578</v>
      </c>
      <c r="S14" s="15">
        <f>_xlfn.RRI($R$4-$N$4,N14,R14)</f>
        <v>1.1188084145320056</v>
      </c>
    </row>
    <row r="15" spans="1:19" x14ac:dyDescent="0.25">
      <c r="A15" t="s">
        <v>198</v>
      </c>
      <c r="B15" t="s">
        <v>199</v>
      </c>
      <c r="C15" t="s">
        <v>287</v>
      </c>
      <c r="D15" t="s">
        <v>200</v>
      </c>
      <c r="E15" t="s">
        <v>201</v>
      </c>
      <c r="F15" t="s">
        <v>145</v>
      </c>
      <c r="G15" t="s">
        <v>22</v>
      </c>
      <c r="H15" t="s">
        <v>22</v>
      </c>
      <c r="I15" t="s">
        <v>22</v>
      </c>
      <c r="J15" t="s">
        <v>22</v>
      </c>
      <c r="K15" t="s">
        <v>22</v>
      </c>
      <c r="L15" t="s">
        <v>27</v>
      </c>
      <c r="M15" t="s">
        <v>27</v>
      </c>
      <c r="N15">
        <v>431</v>
      </c>
      <c r="O15">
        <v>6231</v>
      </c>
      <c r="P15">
        <v>7478</v>
      </c>
      <c r="Q15">
        <v>8039</v>
      </c>
      <c r="R15">
        <v>8271</v>
      </c>
      <c r="S15" s="15">
        <f>_xlfn.RRI($R$4-$N$4,N15,R15)</f>
        <v>1.0930046233022455</v>
      </c>
    </row>
    <row r="16" spans="1:19" x14ac:dyDescent="0.25">
      <c r="A16" t="s">
        <v>174</v>
      </c>
      <c r="B16" t="s">
        <v>175</v>
      </c>
      <c r="C16" t="s">
        <v>290</v>
      </c>
      <c r="D16" t="s">
        <v>176</v>
      </c>
      <c r="E16" t="s">
        <v>177</v>
      </c>
      <c r="F16" t="s">
        <v>145</v>
      </c>
      <c r="G16" t="s">
        <v>22</v>
      </c>
      <c r="H16" t="s">
        <v>22</v>
      </c>
      <c r="I16" t="s">
        <v>22</v>
      </c>
      <c r="J16" t="s">
        <v>22</v>
      </c>
      <c r="K16" t="s">
        <v>22</v>
      </c>
      <c r="L16" t="s">
        <v>22</v>
      </c>
      <c r="M16" t="s">
        <v>22</v>
      </c>
      <c r="N16">
        <v>488</v>
      </c>
      <c r="O16">
        <v>5535</v>
      </c>
      <c r="P16">
        <v>5775</v>
      </c>
      <c r="Q16">
        <v>7661</v>
      </c>
      <c r="R16">
        <v>9206</v>
      </c>
      <c r="S16" s="15">
        <f>_xlfn.RRI($R$4-$N$4,N16,R16)</f>
        <v>1.084072328017021</v>
      </c>
    </row>
    <row r="17" spans="1:19" x14ac:dyDescent="0.25">
      <c r="A17" t="s">
        <v>117</v>
      </c>
      <c r="B17" t="s">
        <v>118</v>
      </c>
      <c r="C17" t="s">
        <v>287</v>
      </c>
      <c r="D17" t="s">
        <v>119</v>
      </c>
      <c r="E17" t="s">
        <v>120</v>
      </c>
      <c r="F17" t="s">
        <v>84</v>
      </c>
      <c r="G17" t="s">
        <v>22</v>
      </c>
      <c r="H17" t="s">
        <v>22</v>
      </c>
      <c r="I17" t="s">
        <v>27</v>
      </c>
      <c r="J17" t="s">
        <v>22</v>
      </c>
      <c r="K17" t="s">
        <v>22</v>
      </c>
      <c r="L17" t="s">
        <v>22</v>
      </c>
      <c r="M17" t="s">
        <v>27</v>
      </c>
      <c r="N17">
        <v>570</v>
      </c>
      <c r="O17">
        <v>1322</v>
      </c>
      <c r="P17">
        <v>7279</v>
      </c>
      <c r="Q17">
        <v>8443</v>
      </c>
      <c r="R17">
        <v>9571</v>
      </c>
      <c r="S17" s="15">
        <f>_xlfn.RRI($R$4-$N$4,N17,R17)</f>
        <v>1.0242801438529217</v>
      </c>
    </row>
    <row r="18" spans="1:19" x14ac:dyDescent="0.25">
      <c r="A18" t="s">
        <v>166</v>
      </c>
      <c r="B18" t="s">
        <v>167</v>
      </c>
      <c r="C18" t="s">
        <v>290</v>
      </c>
      <c r="D18" t="s">
        <v>168</v>
      </c>
      <c r="E18" t="s">
        <v>169</v>
      </c>
      <c r="F18" t="s">
        <v>145</v>
      </c>
      <c r="G18" t="s">
        <v>22</v>
      </c>
      <c r="H18" t="s">
        <v>22</v>
      </c>
      <c r="I18" t="s">
        <v>22</v>
      </c>
      <c r="J18" t="s">
        <v>22</v>
      </c>
      <c r="K18" t="s">
        <v>22</v>
      </c>
      <c r="L18" t="s">
        <v>22</v>
      </c>
      <c r="M18" t="s">
        <v>22</v>
      </c>
      <c r="N18">
        <v>742</v>
      </c>
      <c r="O18">
        <v>3751</v>
      </c>
      <c r="P18">
        <v>4423</v>
      </c>
      <c r="Q18">
        <v>8733</v>
      </c>
      <c r="R18">
        <v>9909</v>
      </c>
      <c r="S18" s="15">
        <f>_xlfn.RRI($R$4-$N$4,N18,R18)</f>
        <v>0.91164163510334228</v>
      </c>
    </row>
    <row r="19" spans="1:19" x14ac:dyDescent="0.25">
      <c r="A19" t="s">
        <v>89</v>
      </c>
      <c r="B19" t="s">
        <v>90</v>
      </c>
      <c r="C19" t="s">
        <v>290</v>
      </c>
      <c r="D19" t="s">
        <v>91</v>
      </c>
      <c r="E19" t="s">
        <v>92</v>
      </c>
      <c r="F19" t="s">
        <v>84</v>
      </c>
      <c r="G19" t="s">
        <v>22</v>
      </c>
      <c r="H19" t="s">
        <v>22</v>
      </c>
      <c r="I19" t="s">
        <v>27</v>
      </c>
      <c r="J19" t="s">
        <v>22</v>
      </c>
      <c r="K19" t="s">
        <v>27</v>
      </c>
      <c r="L19" t="s">
        <v>22</v>
      </c>
      <c r="M19" t="s">
        <v>27</v>
      </c>
      <c r="N19">
        <v>700</v>
      </c>
      <c r="O19">
        <v>5721</v>
      </c>
      <c r="P19">
        <v>6247</v>
      </c>
      <c r="Q19">
        <v>8495</v>
      </c>
      <c r="R19">
        <v>9236</v>
      </c>
      <c r="S19" s="15">
        <f>_xlfn.RRI($R$4-$N$4,N19,R19)</f>
        <v>0.90588403033885334</v>
      </c>
    </row>
    <row r="20" spans="1:19" x14ac:dyDescent="0.25">
      <c r="A20" t="s">
        <v>133</v>
      </c>
      <c r="B20" t="s">
        <v>134</v>
      </c>
      <c r="C20" t="s">
        <v>287</v>
      </c>
      <c r="D20" t="s">
        <v>135</v>
      </c>
      <c r="E20" t="s">
        <v>136</v>
      </c>
      <c r="F20" t="s">
        <v>84</v>
      </c>
      <c r="G20" t="s">
        <v>22</v>
      </c>
      <c r="H20" t="s">
        <v>22</v>
      </c>
      <c r="I20" t="s">
        <v>27</v>
      </c>
      <c r="J20" t="s">
        <v>22</v>
      </c>
      <c r="K20" t="s">
        <v>27</v>
      </c>
      <c r="L20" t="s">
        <v>22</v>
      </c>
      <c r="M20" t="s">
        <v>27</v>
      </c>
      <c r="N20">
        <v>712</v>
      </c>
      <c r="O20">
        <v>4182</v>
      </c>
      <c r="P20">
        <v>6087</v>
      </c>
      <c r="Q20">
        <v>7494</v>
      </c>
      <c r="R20">
        <v>8599</v>
      </c>
      <c r="S20" s="15">
        <f>_xlfn.RRI($R$4-$N$4,N20,R20)</f>
        <v>0.86419779018759768</v>
      </c>
    </row>
    <row r="21" spans="1:19" x14ac:dyDescent="0.25">
      <c r="A21" t="s">
        <v>219</v>
      </c>
      <c r="B21" t="s">
        <v>220</v>
      </c>
      <c r="C21" t="s">
        <v>290</v>
      </c>
      <c r="D21" t="s">
        <v>221</v>
      </c>
      <c r="E21" t="s">
        <v>222</v>
      </c>
      <c r="F21" t="s">
        <v>206</v>
      </c>
      <c r="G21" t="s">
        <v>22</v>
      </c>
      <c r="H21" t="s">
        <v>22</v>
      </c>
      <c r="I21" t="s">
        <v>22</v>
      </c>
      <c r="J21" t="s">
        <v>27</v>
      </c>
      <c r="K21" t="s">
        <v>27</v>
      </c>
      <c r="L21" t="s">
        <v>22</v>
      </c>
      <c r="M21" t="s">
        <v>27</v>
      </c>
      <c r="N21">
        <v>870</v>
      </c>
      <c r="O21">
        <v>2428</v>
      </c>
      <c r="P21">
        <v>7386</v>
      </c>
      <c r="Q21">
        <v>8835</v>
      </c>
      <c r="R21">
        <v>9766</v>
      </c>
      <c r="S21" s="15">
        <f>_xlfn.RRI($R$4-$N$4,N21,R21)</f>
        <v>0.83041416010220881</v>
      </c>
    </row>
    <row r="22" spans="1:19" x14ac:dyDescent="0.25">
      <c r="A22" t="s">
        <v>72</v>
      </c>
      <c r="B22" t="s">
        <v>73</v>
      </c>
      <c r="C22" t="s">
        <v>287</v>
      </c>
      <c r="D22" t="s">
        <v>74</v>
      </c>
      <c r="E22" t="s">
        <v>75</v>
      </c>
      <c r="F22" t="s">
        <v>21</v>
      </c>
      <c r="G22" t="s">
        <v>22</v>
      </c>
      <c r="H22" t="s">
        <v>22</v>
      </c>
      <c r="I22" t="s">
        <v>22</v>
      </c>
      <c r="J22" t="s">
        <v>22</v>
      </c>
      <c r="K22" t="s">
        <v>22</v>
      </c>
      <c r="L22" t="s">
        <v>22</v>
      </c>
      <c r="M22" t="s">
        <v>22</v>
      </c>
      <c r="N22">
        <v>861</v>
      </c>
      <c r="O22">
        <v>1314</v>
      </c>
      <c r="P22">
        <v>1810</v>
      </c>
      <c r="Q22">
        <v>6510</v>
      </c>
      <c r="R22">
        <v>9271</v>
      </c>
      <c r="S22" s="15">
        <f>_xlfn.RRI($R$4-$N$4,N22,R22)</f>
        <v>0.81146879617010592</v>
      </c>
    </row>
    <row r="23" spans="1:19" x14ac:dyDescent="0.25">
      <c r="A23" t="s">
        <v>186</v>
      </c>
      <c r="B23" t="s">
        <v>187</v>
      </c>
      <c r="C23" t="s">
        <v>289</v>
      </c>
      <c r="D23" t="s">
        <v>188</v>
      </c>
      <c r="E23" t="s">
        <v>189</v>
      </c>
      <c r="F23" t="s">
        <v>145</v>
      </c>
      <c r="G23" t="s">
        <v>22</v>
      </c>
      <c r="H23" t="s">
        <v>22</v>
      </c>
      <c r="I23" t="s">
        <v>22</v>
      </c>
      <c r="J23" t="s">
        <v>22</v>
      </c>
      <c r="K23" t="s">
        <v>22</v>
      </c>
      <c r="L23" t="s">
        <v>22</v>
      </c>
      <c r="M23" t="s">
        <v>22</v>
      </c>
      <c r="N23">
        <v>1038</v>
      </c>
      <c r="O23">
        <v>3615</v>
      </c>
      <c r="P23">
        <v>3712</v>
      </c>
      <c r="Q23">
        <v>5819</v>
      </c>
      <c r="R23">
        <v>9589</v>
      </c>
      <c r="S23" s="15">
        <f>_xlfn.RRI($R$4-$N$4,N23,R23)</f>
        <v>0.74338775485751718</v>
      </c>
    </row>
    <row r="24" spans="1:19" x14ac:dyDescent="0.25">
      <c r="A24" t="s">
        <v>239</v>
      </c>
      <c r="B24" t="s">
        <v>240</v>
      </c>
      <c r="C24" t="s">
        <v>289</v>
      </c>
      <c r="D24" t="s">
        <v>241</v>
      </c>
      <c r="E24" t="s">
        <v>242</v>
      </c>
      <c r="F24" t="s">
        <v>206</v>
      </c>
      <c r="G24" t="s">
        <v>22</v>
      </c>
      <c r="H24" t="s">
        <v>27</v>
      </c>
      <c r="I24" t="s">
        <v>27</v>
      </c>
      <c r="J24" t="s">
        <v>27</v>
      </c>
      <c r="K24" t="s">
        <v>27</v>
      </c>
      <c r="L24" t="s">
        <v>22</v>
      </c>
      <c r="M24" t="s">
        <v>27</v>
      </c>
      <c r="N24">
        <v>576</v>
      </c>
      <c r="O24">
        <v>2628</v>
      </c>
      <c r="P24">
        <v>3612</v>
      </c>
      <c r="Q24">
        <v>5066</v>
      </c>
      <c r="R24">
        <v>5156</v>
      </c>
      <c r="S24" s="15">
        <f>_xlfn.RRI($R$4-$N$4,N24,R24)</f>
        <v>0.72970725225475852</v>
      </c>
    </row>
    <row r="25" spans="1:19" x14ac:dyDescent="0.25">
      <c r="A25" t="s">
        <v>158</v>
      </c>
      <c r="B25" t="s">
        <v>159</v>
      </c>
      <c r="C25" t="s">
        <v>288</v>
      </c>
      <c r="D25" t="s">
        <v>160</v>
      </c>
      <c r="E25" t="s">
        <v>161</v>
      </c>
      <c r="F25" t="s">
        <v>145</v>
      </c>
      <c r="G25" t="s">
        <v>22</v>
      </c>
      <c r="H25" t="s">
        <v>22</v>
      </c>
      <c r="I25" t="s">
        <v>22</v>
      </c>
      <c r="J25" t="s">
        <v>22</v>
      </c>
      <c r="K25" t="s">
        <v>22</v>
      </c>
      <c r="L25" t="s">
        <v>22</v>
      </c>
      <c r="M25" t="s">
        <v>22</v>
      </c>
      <c r="N25">
        <v>1092</v>
      </c>
      <c r="O25">
        <v>3140</v>
      </c>
      <c r="P25">
        <v>4123</v>
      </c>
      <c r="Q25">
        <v>4366</v>
      </c>
      <c r="R25">
        <v>9482</v>
      </c>
      <c r="S25" s="15">
        <f>_xlfn.RRI($R$4-$N$4,N25,R25)</f>
        <v>0.71660086943635504</v>
      </c>
    </row>
    <row r="26" spans="1:19" x14ac:dyDescent="0.25">
      <c r="A26" t="s">
        <v>227</v>
      </c>
      <c r="B26" t="s">
        <v>228</v>
      </c>
      <c r="C26" t="s">
        <v>290</v>
      </c>
      <c r="D26" t="s">
        <v>229</v>
      </c>
      <c r="E26" t="s">
        <v>230</v>
      </c>
      <c r="F26" t="s">
        <v>206</v>
      </c>
      <c r="G26" t="s">
        <v>22</v>
      </c>
      <c r="H26" t="s">
        <v>22</v>
      </c>
      <c r="I26" t="s">
        <v>22</v>
      </c>
      <c r="J26" t="s">
        <v>27</v>
      </c>
      <c r="K26" t="s">
        <v>27</v>
      </c>
      <c r="L26" t="s">
        <v>22</v>
      </c>
      <c r="M26" t="s">
        <v>27</v>
      </c>
      <c r="N26">
        <v>1082</v>
      </c>
      <c r="O26">
        <v>3353</v>
      </c>
      <c r="P26">
        <v>6351</v>
      </c>
      <c r="Q26">
        <v>8550</v>
      </c>
      <c r="R26">
        <v>9272</v>
      </c>
      <c r="S26" s="15">
        <f>_xlfn.RRI($R$4-$N$4,N26,R26)</f>
        <v>0.71094693671276654</v>
      </c>
    </row>
    <row r="27" spans="1:19" x14ac:dyDescent="0.25">
      <c r="A27" t="s">
        <v>28</v>
      </c>
      <c r="B27" t="s">
        <v>29</v>
      </c>
      <c r="C27" t="s">
        <v>287</v>
      </c>
      <c r="D27" t="s">
        <v>30</v>
      </c>
      <c r="E27" t="s">
        <v>31</v>
      </c>
      <c r="F27" t="s">
        <v>21</v>
      </c>
      <c r="G27" t="s">
        <v>22</v>
      </c>
      <c r="H27" t="s">
        <v>22</v>
      </c>
      <c r="I27" t="s">
        <v>22</v>
      </c>
      <c r="J27" t="s">
        <v>22</v>
      </c>
      <c r="K27" t="s">
        <v>22</v>
      </c>
      <c r="L27" t="s">
        <v>22</v>
      </c>
      <c r="M27" t="s">
        <v>22</v>
      </c>
      <c r="N27">
        <v>1209</v>
      </c>
      <c r="O27">
        <v>1534</v>
      </c>
      <c r="P27">
        <v>1634</v>
      </c>
      <c r="Q27">
        <v>4302</v>
      </c>
      <c r="R27">
        <v>9768</v>
      </c>
      <c r="S27" s="15">
        <f>_xlfn.RRI($R$4-$N$4,N27,R27)</f>
        <v>0.68595057009486848</v>
      </c>
    </row>
    <row r="28" spans="1:19" x14ac:dyDescent="0.25">
      <c r="A28" t="s">
        <v>251</v>
      </c>
      <c r="B28" t="s">
        <v>252</v>
      </c>
      <c r="C28" t="s">
        <v>287</v>
      </c>
      <c r="D28" t="s">
        <v>253</v>
      </c>
      <c r="E28" t="s">
        <v>254</v>
      </c>
      <c r="F28" t="s">
        <v>206</v>
      </c>
      <c r="G28" t="s">
        <v>22</v>
      </c>
      <c r="H28" t="s">
        <v>22</v>
      </c>
      <c r="I28" t="s">
        <v>22</v>
      </c>
      <c r="J28" t="s">
        <v>27</v>
      </c>
      <c r="K28" t="s">
        <v>27</v>
      </c>
      <c r="L28" t="s">
        <v>27</v>
      </c>
      <c r="M28" t="s">
        <v>27</v>
      </c>
      <c r="N28">
        <v>1263</v>
      </c>
      <c r="O28">
        <v>2517</v>
      </c>
      <c r="P28">
        <v>8042</v>
      </c>
      <c r="Q28">
        <v>8222</v>
      </c>
      <c r="R28">
        <v>9686</v>
      </c>
      <c r="S28" s="15">
        <f>_xlfn.RRI($R$4-$N$4,N28,R28)</f>
        <v>0.66412244620782168</v>
      </c>
    </row>
    <row r="29" spans="1:19" x14ac:dyDescent="0.25">
      <c r="A29" t="s">
        <v>259</v>
      </c>
      <c r="B29" t="s">
        <v>260</v>
      </c>
      <c r="C29" t="s">
        <v>289</v>
      </c>
      <c r="D29" t="s">
        <v>261</v>
      </c>
      <c r="E29" t="s">
        <v>262</v>
      </c>
      <c r="F29" t="s">
        <v>206</v>
      </c>
      <c r="G29" t="s">
        <v>22</v>
      </c>
      <c r="H29" t="s">
        <v>22</v>
      </c>
      <c r="I29" t="s">
        <v>22</v>
      </c>
      <c r="J29" t="s">
        <v>27</v>
      </c>
      <c r="K29" t="s">
        <v>27</v>
      </c>
      <c r="L29" t="s">
        <v>27</v>
      </c>
      <c r="M29" t="s">
        <v>27</v>
      </c>
      <c r="N29">
        <v>1014</v>
      </c>
      <c r="O29">
        <v>2254</v>
      </c>
      <c r="P29">
        <v>4534</v>
      </c>
      <c r="Q29">
        <v>6796</v>
      </c>
      <c r="R29">
        <v>7730</v>
      </c>
      <c r="S29" s="15">
        <f>_xlfn.RRI($R$4-$N$4,N29,R29)</f>
        <v>0.66163405613342663</v>
      </c>
    </row>
    <row r="30" spans="1:19" x14ac:dyDescent="0.25">
      <c r="A30" t="s">
        <v>105</v>
      </c>
      <c r="B30" t="s">
        <v>106</v>
      </c>
      <c r="C30" t="s">
        <v>290</v>
      </c>
      <c r="D30" t="s">
        <v>107</v>
      </c>
      <c r="E30" t="s">
        <v>108</v>
      </c>
      <c r="F30" t="s">
        <v>84</v>
      </c>
      <c r="G30" t="s">
        <v>22</v>
      </c>
      <c r="H30" t="s">
        <v>22</v>
      </c>
      <c r="I30" t="s">
        <v>27</v>
      </c>
      <c r="J30" t="s">
        <v>22</v>
      </c>
      <c r="K30" t="s">
        <v>27</v>
      </c>
      <c r="L30" t="s">
        <v>22</v>
      </c>
      <c r="M30" t="s">
        <v>27</v>
      </c>
      <c r="N30">
        <v>1368</v>
      </c>
      <c r="O30">
        <v>3447</v>
      </c>
      <c r="P30">
        <v>4535</v>
      </c>
      <c r="Q30">
        <v>5476</v>
      </c>
      <c r="R30">
        <v>9983</v>
      </c>
      <c r="S30" s="15">
        <f>_xlfn.RRI($R$4-$N$4,N30,R30)</f>
        <v>0.64359095818904954</v>
      </c>
    </row>
    <row r="31" spans="1:19" x14ac:dyDescent="0.25">
      <c r="A31" t="s">
        <v>235</v>
      </c>
      <c r="B31" t="s">
        <v>236</v>
      </c>
      <c r="C31" t="s">
        <v>289</v>
      </c>
      <c r="D31" t="s">
        <v>237</v>
      </c>
      <c r="E31" t="s">
        <v>238</v>
      </c>
      <c r="F31" t="s">
        <v>206</v>
      </c>
      <c r="G31" t="s">
        <v>22</v>
      </c>
      <c r="H31" t="s">
        <v>22</v>
      </c>
      <c r="I31" t="s">
        <v>22</v>
      </c>
      <c r="J31" t="s">
        <v>27</v>
      </c>
      <c r="K31" t="s">
        <v>27</v>
      </c>
      <c r="L31" t="s">
        <v>22</v>
      </c>
      <c r="M31" t="s">
        <v>27</v>
      </c>
      <c r="N31">
        <v>1357</v>
      </c>
      <c r="O31">
        <v>4189</v>
      </c>
      <c r="P31">
        <v>5407</v>
      </c>
      <c r="Q31">
        <v>6233</v>
      </c>
      <c r="R31">
        <v>9681</v>
      </c>
      <c r="S31" s="15">
        <f>_xlfn.RRI($R$4-$N$4,N31,R31)</f>
        <v>0.63431246502429839</v>
      </c>
    </row>
    <row r="32" spans="1:19" x14ac:dyDescent="0.25">
      <c r="A32" t="s">
        <v>194</v>
      </c>
      <c r="B32" t="s">
        <v>195</v>
      </c>
      <c r="C32" t="s">
        <v>289</v>
      </c>
      <c r="D32" t="s">
        <v>196</v>
      </c>
      <c r="E32" t="s">
        <v>197</v>
      </c>
      <c r="F32" t="s">
        <v>145</v>
      </c>
      <c r="G32" t="s">
        <v>22</v>
      </c>
      <c r="H32" t="s">
        <v>22</v>
      </c>
      <c r="I32" t="s">
        <v>22</v>
      </c>
      <c r="J32" t="s">
        <v>22</v>
      </c>
      <c r="K32" t="s">
        <v>27</v>
      </c>
      <c r="L32" t="s">
        <v>27</v>
      </c>
      <c r="M32" t="s">
        <v>27</v>
      </c>
      <c r="N32">
        <v>1290</v>
      </c>
      <c r="O32">
        <v>4033</v>
      </c>
      <c r="P32">
        <v>6956</v>
      </c>
      <c r="Q32">
        <v>7929</v>
      </c>
      <c r="R32">
        <v>8834</v>
      </c>
      <c r="S32" s="15">
        <f>_xlfn.RRI($R$4-$N$4,N32,R32)</f>
        <v>0.61767741115573149</v>
      </c>
    </row>
    <row r="33" spans="1:19" x14ac:dyDescent="0.25">
      <c r="A33" t="s">
        <v>223</v>
      </c>
      <c r="B33" t="s">
        <v>224</v>
      </c>
      <c r="C33" t="s">
        <v>287</v>
      </c>
      <c r="D33" t="s">
        <v>225</v>
      </c>
      <c r="E33" t="s">
        <v>226</v>
      </c>
      <c r="F33" t="s">
        <v>206</v>
      </c>
      <c r="G33" t="s">
        <v>22</v>
      </c>
      <c r="H33" t="s">
        <v>22</v>
      </c>
      <c r="I33" t="s">
        <v>22</v>
      </c>
      <c r="J33" t="s">
        <v>27</v>
      </c>
      <c r="K33" t="s">
        <v>27</v>
      </c>
      <c r="L33" t="s">
        <v>22</v>
      </c>
      <c r="M33" t="s">
        <v>27</v>
      </c>
      <c r="N33">
        <v>1497</v>
      </c>
      <c r="O33">
        <v>1768</v>
      </c>
      <c r="P33">
        <v>2804</v>
      </c>
      <c r="Q33">
        <v>5718</v>
      </c>
      <c r="R33">
        <v>9822</v>
      </c>
      <c r="S33" s="15">
        <f>_xlfn.RRI($R$4-$N$4,N33,R33)</f>
        <v>0.60045892388204325</v>
      </c>
    </row>
    <row r="34" spans="1:19" x14ac:dyDescent="0.25">
      <c r="A34" t="s">
        <v>255</v>
      </c>
      <c r="B34" t="s">
        <v>256</v>
      </c>
      <c r="C34" t="s">
        <v>288</v>
      </c>
      <c r="D34" t="s">
        <v>257</v>
      </c>
      <c r="E34" t="s">
        <v>258</v>
      </c>
      <c r="F34" t="s">
        <v>206</v>
      </c>
      <c r="G34" t="s">
        <v>22</v>
      </c>
      <c r="H34" t="s">
        <v>22</v>
      </c>
      <c r="I34" t="s">
        <v>22</v>
      </c>
      <c r="J34" t="s">
        <v>27</v>
      </c>
      <c r="K34" t="s">
        <v>27</v>
      </c>
      <c r="L34" t="s">
        <v>27</v>
      </c>
      <c r="M34" t="s">
        <v>27</v>
      </c>
      <c r="N34">
        <v>1032</v>
      </c>
      <c r="O34">
        <v>3919</v>
      </c>
      <c r="P34">
        <v>4466</v>
      </c>
      <c r="Q34">
        <v>5568</v>
      </c>
      <c r="R34">
        <v>6476</v>
      </c>
      <c r="S34" s="15">
        <f>_xlfn.RRI($R$4-$N$4,N34,R34)</f>
        <v>0.58272982283102692</v>
      </c>
    </row>
    <row r="35" spans="1:19" x14ac:dyDescent="0.25">
      <c r="A35" t="s">
        <v>211</v>
      </c>
      <c r="B35" t="s">
        <v>212</v>
      </c>
      <c r="C35" t="s">
        <v>289</v>
      </c>
      <c r="D35" t="s">
        <v>213</v>
      </c>
      <c r="E35" t="s">
        <v>214</v>
      </c>
      <c r="F35" t="s">
        <v>206</v>
      </c>
      <c r="G35" t="s">
        <v>22</v>
      </c>
      <c r="H35" t="s">
        <v>22</v>
      </c>
      <c r="I35" t="s">
        <v>22</v>
      </c>
      <c r="J35" t="s">
        <v>27</v>
      </c>
      <c r="K35" t="s">
        <v>27</v>
      </c>
      <c r="L35" t="s">
        <v>22</v>
      </c>
      <c r="M35" t="s">
        <v>27</v>
      </c>
      <c r="N35">
        <v>1323</v>
      </c>
      <c r="O35">
        <v>4963</v>
      </c>
      <c r="P35">
        <v>6292</v>
      </c>
      <c r="Q35">
        <v>6728</v>
      </c>
      <c r="R35">
        <v>8202</v>
      </c>
      <c r="S35" s="15">
        <f>_xlfn.RRI($R$4-$N$4,N35,R35)</f>
        <v>0.57793816418173161</v>
      </c>
    </row>
    <row r="36" spans="1:19" x14ac:dyDescent="0.25">
      <c r="A36" t="s">
        <v>113</v>
      </c>
      <c r="B36" t="s">
        <v>114</v>
      </c>
      <c r="C36" t="s">
        <v>290</v>
      </c>
      <c r="D36" t="s">
        <v>115</v>
      </c>
      <c r="E36" t="s">
        <v>116</v>
      </c>
      <c r="F36" t="s">
        <v>84</v>
      </c>
      <c r="G36" t="s">
        <v>22</v>
      </c>
      <c r="H36" t="s">
        <v>22</v>
      </c>
      <c r="I36" t="s">
        <v>27</v>
      </c>
      <c r="J36" t="s">
        <v>22</v>
      </c>
      <c r="K36" t="s">
        <v>22</v>
      </c>
      <c r="L36" t="s">
        <v>22</v>
      </c>
      <c r="M36" t="s">
        <v>27</v>
      </c>
      <c r="N36">
        <v>1779</v>
      </c>
      <c r="O36">
        <v>2124</v>
      </c>
      <c r="P36">
        <v>2844</v>
      </c>
      <c r="Q36">
        <v>6877</v>
      </c>
      <c r="R36">
        <v>9570</v>
      </c>
      <c r="S36" s="15">
        <f>_xlfn.RRI($R$4-$N$4,N36,R36)</f>
        <v>0.52294422157633269</v>
      </c>
    </row>
    <row r="37" spans="1:19" x14ac:dyDescent="0.25">
      <c r="A37" t="s">
        <v>17</v>
      </c>
      <c r="B37" t="s">
        <v>18</v>
      </c>
      <c r="C37" t="s">
        <v>289</v>
      </c>
      <c r="D37" t="s">
        <v>19</v>
      </c>
      <c r="E37" t="s">
        <v>20</v>
      </c>
      <c r="F37" t="s">
        <v>21</v>
      </c>
      <c r="G37" t="s">
        <v>22</v>
      </c>
      <c r="H37" t="s">
        <v>22</v>
      </c>
      <c r="I37" t="s">
        <v>22</v>
      </c>
      <c r="J37" t="s">
        <v>22</v>
      </c>
      <c r="K37" t="s">
        <v>22</v>
      </c>
      <c r="L37" t="s">
        <v>22</v>
      </c>
      <c r="M37" t="s">
        <v>22</v>
      </c>
      <c r="N37">
        <v>1982</v>
      </c>
      <c r="O37">
        <v>5388</v>
      </c>
      <c r="P37">
        <v>7063</v>
      </c>
      <c r="Q37">
        <v>7208</v>
      </c>
      <c r="R37">
        <v>9093</v>
      </c>
      <c r="S37" s="15">
        <f>_xlfn.RRI($R$4-$N$4,N37,R37)</f>
        <v>0.46352749292411066</v>
      </c>
    </row>
    <row r="38" spans="1:19" x14ac:dyDescent="0.25">
      <c r="A38" t="s">
        <v>36</v>
      </c>
      <c r="B38" t="s">
        <v>37</v>
      </c>
      <c r="C38" t="s">
        <v>287</v>
      </c>
      <c r="D38" t="s">
        <v>38</v>
      </c>
      <c r="E38" t="s">
        <v>39</v>
      </c>
      <c r="F38" t="s">
        <v>21</v>
      </c>
      <c r="G38" t="s">
        <v>22</v>
      </c>
      <c r="H38" t="s">
        <v>22</v>
      </c>
      <c r="I38" t="s">
        <v>27</v>
      </c>
      <c r="J38" t="s">
        <v>22</v>
      </c>
      <c r="K38" t="s">
        <v>22</v>
      </c>
      <c r="L38" t="s">
        <v>22</v>
      </c>
      <c r="M38" t="s">
        <v>22</v>
      </c>
      <c r="N38">
        <v>1421</v>
      </c>
      <c r="O38">
        <v>1893</v>
      </c>
      <c r="P38">
        <v>2722</v>
      </c>
      <c r="Q38">
        <v>4410</v>
      </c>
      <c r="R38">
        <v>5873</v>
      </c>
      <c r="S38" s="15">
        <f>_xlfn.RRI($R$4-$N$4,N38,R38)</f>
        <v>0.42582583880267388</v>
      </c>
    </row>
    <row r="39" spans="1:19" x14ac:dyDescent="0.25">
      <c r="A39" t="s">
        <v>56</v>
      </c>
      <c r="B39" t="s">
        <v>57</v>
      </c>
      <c r="C39" t="s">
        <v>290</v>
      </c>
      <c r="D39" t="s">
        <v>58</v>
      </c>
      <c r="E39" t="s">
        <v>59</v>
      </c>
      <c r="F39" t="s">
        <v>21</v>
      </c>
      <c r="G39" t="s">
        <v>22</v>
      </c>
      <c r="H39" t="s">
        <v>22</v>
      </c>
      <c r="I39" t="s">
        <v>27</v>
      </c>
      <c r="J39" t="s">
        <v>22</v>
      </c>
      <c r="K39" t="s">
        <v>27</v>
      </c>
      <c r="L39" t="s">
        <v>22</v>
      </c>
      <c r="M39" t="s">
        <v>27</v>
      </c>
      <c r="N39">
        <v>1530</v>
      </c>
      <c r="O39">
        <v>1620</v>
      </c>
      <c r="P39">
        <v>2027</v>
      </c>
      <c r="Q39">
        <v>4881</v>
      </c>
      <c r="R39">
        <v>6002</v>
      </c>
      <c r="S39" s="15">
        <f>_xlfn.RRI($R$4-$N$4,N39,R39)</f>
        <v>0.40734683274409145</v>
      </c>
    </row>
    <row r="40" spans="1:19" x14ac:dyDescent="0.25">
      <c r="A40" t="s">
        <v>40</v>
      </c>
      <c r="B40" t="s">
        <v>41</v>
      </c>
      <c r="C40" t="s">
        <v>290</v>
      </c>
      <c r="D40" t="s">
        <v>42</v>
      </c>
      <c r="E40" t="s">
        <v>43</v>
      </c>
      <c r="F40" t="s">
        <v>21</v>
      </c>
      <c r="G40" t="s">
        <v>22</v>
      </c>
      <c r="H40" t="s">
        <v>22</v>
      </c>
      <c r="I40" t="s">
        <v>22</v>
      </c>
      <c r="J40" t="s">
        <v>27</v>
      </c>
      <c r="K40" t="s">
        <v>22</v>
      </c>
      <c r="L40" t="s">
        <v>22</v>
      </c>
      <c r="M40" t="s">
        <v>27</v>
      </c>
      <c r="N40">
        <v>2341</v>
      </c>
      <c r="O40">
        <v>6105</v>
      </c>
      <c r="P40">
        <v>7777</v>
      </c>
      <c r="Q40">
        <v>7891</v>
      </c>
      <c r="R40">
        <v>8758</v>
      </c>
      <c r="S40" s="15">
        <f>_xlfn.RRI($R$4-$N$4,N40,R40)</f>
        <v>0.390755806385503</v>
      </c>
    </row>
    <row r="41" spans="1:19" x14ac:dyDescent="0.25">
      <c r="A41" t="s">
        <v>162</v>
      </c>
      <c r="B41" t="s">
        <v>163</v>
      </c>
      <c r="C41" t="s">
        <v>289</v>
      </c>
      <c r="D41" t="s">
        <v>164</v>
      </c>
      <c r="E41" t="s">
        <v>165</v>
      </c>
      <c r="F41" t="s">
        <v>145</v>
      </c>
      <c r="G41" t="s">
        <v>22</v>
      </c>
      <c r="H41" t="s">
        <v>22</v>
      </c>
      <c r="I41" t="s">
        <v>22</v>
      </c>
      <c r="J41" t="s">
        <v>27</v>
      </c>
      <c r="K41" t="s">
        <v>27</v>
      </c>
      <c r="L41" t="s">
        <v>22</v>
      </c>
      <c r="M41" t="s">
        <v>22</v>
      </c>
      <c r="N41">
        <v>2541</v>
      </c>
      <c r="O41">
        <v>3794</v>
      </c>
      <c r="P41">
        <v>3984</v>
      </c>
      <c r="Q41">
        <v>8803</v>
      </c>
      <c r="R41">
        <v>9338</v>
      </c>
      <c r="S41" s="15">
        <f>_xlfn.RRI($R$4-$N$4,N41,R41)</f>
        <v>0.38456165928272146</v>
      </c>
    </row>
    <row r="42" spans="1:19" x14ac:dyDescent="0.25">
      <c r="A42" t="s">
        <v>64</v>
      </c>
      <c r="B42" t="s">
        <v>65</v>
      </c>
      <c r="C42" t="s">
        <v>289</v>
      </c>
      <c r="D42" t="s">
        <v>66</v>
      </c>
      <c r="E42" t="s">
        <v>67</v>
      </c>
      <c r="F42" t="s">
        <v>21</v>
      </c>
      <c r="G42" t="s">
        <v>22</v>
      </c>
      <c r="H42" t="s">
        <v>27</v>
      </c>
      <c r="I42" t="s">
        <v>27</v>
      </c>
      <c r="J42" t="s">
        <v>27</v>
      </c>
      <c r="K42" t="s">
        <v>27</v>
      </c>
      <c r="L42" t="s">
        <v>27</v>
      </c>
      <c r="M42" t="s">
        <v>27</v>
      </c>
      <c r="N42">
        <v>1532</v>
      </c>
      <c r="O42">
        <v>2678</v>
      </c>
      <c r="P42">
        <v>4068</v>
      </c>
      <c r="Q42">
        <v>4278</v>
      </c>
      <c r="R42">
        <v>5382</v>
      </c>
      <c r="S42" s="15">
        <f>_xlfn.RRI($R$4-$N$4,N42,R42)</f>
        <v>0.3690560602470212</v>
      </c>
    </row>
    <row r="43" spans="1:19" x14ac:dyDescent="0.25">
      <c r="A43" t="s">
        <v>141</v>
      </c>
      <c r="B43" t="s">
        <v>142</v>
      </c>
      <c r="C43" t="s">
        <v>289</v>
      </c>
      <c r="D43" t="s">
        <v>143</v>
      </c>
      <c r="E43" t="s">
        <v>144</v>
      </c>
      <c r="F43" t="s">
        <v>145</v>
      </c>
      <c r="G43" t="s">
        <v>22</v>
      </c>
      <c r="H43" t="s">
        <v>22</v>
      </c>
      <c r="I43" t="s">
        <v>22</v>
      </c>
      <c r="J43" t="s">
        <v>27</v>
      </c>
      <c r="K43" t="s">
        <v>27</v>
      </c>
      <c r="L43" t="s">
        <v>22</v>
      </c>
      <c r="M43" t="s">
        <v>27</v>
      </c>
      <c r="N43">
        <v>2519</v>
      </c>
      <c r="O43">
        <v>3938</v>
      </c>
      <c r="P43">
        <v>5190</v>
      </c>
      <c r="Q43">
        <v>8203</v>
      </c>
      <c r="R43">
        <v>8780</v>
      </c>
      <c r="S43" s="15">
        <f>_xlfn.RRI($R$4-$N$4,N43,R43)</f>
        <v>0.36636455401735013</v>
      </c>
    </row>
    <row r="44" spans="1:19" x14ac:dyDescent="0.25">
      <c r="A44" t="s">
        <v>154</v>
      </c>
      <c r="B44" t="s">
        <v>155</v>
      </c>
      <c r="C44" t="s">
        <v>290</v>
      </c>
      <c r="D44" t="s">
        <v>156</v>
      </c>
      <c r="E44" t="s">
        <v>157</v>
      </c>
      <c r="F44" t="s">
        <v>145</v>
      </c>
      <c r="G44" t="s">
        <v>22</v>
      </c>
      <c r="H44" t="s">
        <v>22</v>
      </c>
      <c r="I44" t="s">
        <v>22</v>
      </c>
      <c r="J44" t="s">
        <v>27</v>
      </c>
      <c r="K44" t="s">
        <v>27</v>
      </c>
      <c r="L44" t="s">
        <v>22</v>
      </c>
      <c r="M44" t="s">
        <v>22</v>
      </c>
      <c r="N44">
        <v>3297</v>
      </c>
      <c r="O44">
        <v>4866</v>
      </c>
      <c r="P44">
        <v>4928</v>
      </c>
      <c r="Q44">
        <v>8451</v>
      </c>
      <c r="R44">
        <v>9585</v>
      </c>
      <c r="S44" s="15">
        <f>_xlfn.RRI($R$4-$N$4,N44,R44)</f>
        <v>0.30577482876902251</v>
      </c>
    </row>
    <row r="45" spans="1:19" x14ac:dyDescent="0.25">
      <c r="A45" t="s">
        <v>80</v>
      </c>
      <c r="B45" t="s">
        <v>81</v>
      </c>
      <c r="C45" t="s">
        <v>287</v>
      </c>
      <c r="D45" t="s">
        <v>82</v>
      </c>
      <c r="E45" t="s">
        <v>83</v>
      </c>
      <c r="F45" t="s">
        <v>84</v>
      </c>
      <c r="G45" t="s">
        <v>22</v>
      </c>
      <c r="H45" t="s">
        <v>22</v>
      </c>
      <c r="I45" t="s">
        <v>27</v>
      </c>
      <c r="J45" t="s">
        <v>27</v>
      </c>
      <c r="K45" t="s">
        <v>27</v>
      </c>
      <c r="L45" t="s">
        <v>27</v>
      </c>
      <c r="M45" t="s">
        <v>27</v>
      </c>
      <c r="N45">
        <v>3501</v>
      </c>
      <c r="O45">
        <v>7079</v>
      </c>
      <c r="P45">
        <v>7438</v>
      </c>
      <c r="Q45">
        <v>7443</v>
      </c>
      <c r="R45">
        <v>9225</v>
      </c>
      <c r="S45" s="15">
        <f>_xlfn.RRI($R$4-$N$4,N45,R45)</f>
        <v>0.27407081068210992</v>
      </c>
    </row>
    <row r="46" spans="1:19" x14ac:dyDescent="0.25">
      <c r="A46" t="s">
        <v>23</v>
      </c>
      <c r="B46" t="s">
        <v>24</v>
      </c>
      <c r="C46" t="s">
        <v>287</v>
      </c>
      <c r="D46" t="s">
        <v>25</v>
      </c>
      <c r="E46" t="s">
        <v>26</v>
      </c>
      <c r="F46" t="s">
        <v>21</v>
      </c>
      <c r="G46" t="s">
        <v>22</v>
      </c>
      <c r="H46" t="s">
        <v>22</v>
      </c>
      <c r="I46" t="s">
        <v>22</v>
      </c>
      <c r="J46" t="s">
        <v>27</v>
      </c>
      <c r="K46" t="s">
        <v>22</v>
      </c>
      <c r="L46" t="s">
        <v>22</v>
      </c>
      <c r="M46" t="s">
        <v>22</v>
      </c>
      <c r="N46">
        <v>2786</v>
      </c>
      <c r="O46">
        <v>3804</v>
      </c>
      <c r="P46">
        <v>4121</v>
      </c>
      <c r="Q46">
        <v>6210</v>
      </c>
      <c r="R46">
        <v>6909</v>
      </c>
      <c r="S46" s="15">
        <f>_xlfn.RRI($R$4-$N$4,N46,R46)</f>
        <v>0.25489826874508914</v>
      </c>
    </row>
    <row r="47" spans="1:19" x14ac:dyDescent="0.25">
      <c r="A47" t="s">
        <v>137</v>
      </c>
      <c r="B47" t="s">
        <v>138</v>
      </c>
      <c r="C47" t="s">
        <v>289</v>
      </c>
      <c r="D47" t="s">
        <v>139</v>
      </c>
      <c r="E47" t="s">
        <v>140</v>
      </c>
      <c r="F47" t="s">
        <v>84</v>
      </c>
      <c r="G47" t="s">
        <v>22</v>
      </c>
      <c r="H47" t="s">
        <v>22</v>
      </c>
      <c r="I47" t="s">
        <v>27</v>
      </c>
      <c r="J47" t="s">
        <v>27</v>
      </c>
      <c r="K47" t="s">
        <v>27</v>
      </c>
      <c r="L47" t="s">
        <v>27</v>
      </c>
      <c r="M47" t="s">
        <v>27</v>
      </c>
      <c r="N47">
        <v>2390</v>
      </c>
      <c r="O47">
        <v>2415</v>
      </c>
      <c r="P47">
        <v>3461</v>
      </c>
      <c r="Q47">
        <v>3850</v>
      </c>
      <c r="R47">
        <v>4657</v>
      </c>
      <c r="S47" s="15">
        <f>_xlfn.RRI($R$4-$N$4,N47,R47)</f>
        <v>0.18148193130433588</v>
      </c>
    </row>
    <row r="48" spans="1:19" x14ac:dyDescent="0.25">
      <c r="A48" t="s">
        <v>85</v>
      </c>
      <c r="B48" t="s">
        <v>86</v>
      </c>
      <c r="C48" t="s">
        <v>289</v>
      </c>
      <c r="D48" t="s">
        <v>87</v>
      </c>
      <c r="E48" t="s">
        <v>88</v>
      </c>
      <c r="F48" t="s">
        <v>84</v>
      </c>
      <c r="G48" t="s">
        <v>22</v>
      </c>
      <c r="H48" t="s">
        <v>22</v>
      </c>
      <c r="I48" t="s">
        <v>27</v>
      </c>
      <c r="J48" t="s">
        <v>27</v>
      </c>
      <c r="K48" t="s">
        <v>27</v>
      </c>
      <c r="L48" t="s">
        <v>27</v>
      </c>
      <c r="M48" t="s">
        <v>27</v>
      </c>
      <c r="N48">
        <v>3916</v>
      </c>
      <c r="O48">
        <v>4218</v>
      </c>
      <c r="P48">
        <v>5072</v>
      </c>
      <c r="Q48">
        <v>5201</v>
      </c>
      <c r="R48">
        <v>7588</v>
      </c>
      <c r="S48" s="15">
        <f>_xlfn.RRI($R$4-$N$4,N48,R48)</f>
        <v>0.17983468576187267</v>
      </c>
    </row>
    <row r="49" spans="1:19" x14ac:dyDescent="0.25">
      <c r="A49" t="s">
        <v>150</v>
      </c>
      <c r="B49" t="s">
        <v>151</v>
      </c>
      <c r="C49" t="s">
        <v>289</v>
      </c>
      <c r="D49" t="s">
        <v>152</v>
      </c>
      <c r="E49" t="s">
        <v>153</v>
      </c>
      <c r="F49" t="s">
        <v>145</v>
      </c>
      <c r="G49" t="s">
        <v>22</v>
      </c>
      <c r="H49" t="s">
        <v>22</v>
      </c>
      <c r="I49" t="s">
        <v>22</v>
      </c>
      <c r="J49" t="s">
        <v>27</v>
      </c>
      <c r="K49" t="s">
        <v>27</v>
      </c>
      <c r="L49" t="s">
        <v>22</v>
      </c>
      <c r="M49" t="s">
        <v>22</v>
      </c>
      <c r="N49">
        <v>8873</v>
      </c>
      <c r="O49">
        <v>8484</v>
      </c>
      <c r="P49">
        <v>7883</v>
      </c>
      <c r="Q49">
        <v>7499</v>
      </c>
      <c r="R49">
        <v>6592</v>
      </c>
      <c r="S49" s="15">
        <f>_xlfn.RRI($R$4-$N$4,N49,R49)</f>
        <v>-7.1596691853915484E-2</v>
      </c>
    </row>
    <row r="50" spans="1:19" x14ac:dyDescent="0.25">
      <c r="A50" t="s">
        <v>129</v>
      </c>
      <c r="B50" t="s">
        <v>130</v>
      </c>
      <c r="C50" t="s">
        <v>288</v>
      </c>
      <c r="D50" t="s">
        <v>131</v>
      </c>
      <c r="E50" t="s">
        <v>132</v>
      </c>
      <c r="F50" t="s">
        <v>84</v>
      </c>
      <c r="G50" t="s">
        <v>22</v>
      </c>
      <c r="H50" t="s">
        <v>22</v>
      </c>
      <c r="I50" t="s">
        <v>27</v>
      </c>
      <c r="J50" t="s">
        <v>27</v>
      </c>
      <c r="K50" t="s">
        <v>27</v>
      </c>
      <c r="L50" t="s">
        <v>27</v>
      </c>
      <c r="M50" t="s">
        <v>27</v>
      </c>
      <c r="N50">
        <v>6309</v>
      </c>
      <c r="O50">
        <v>6227</v>
      </c>
      <c r="P50">
        <v>5123</v>
      </c>
      <c r="Q50">
        <v>4968</v>
      </c>
      <c r="R50">
        <v>3857</v>
      </c>
      <c r="S50" s="15">
        <f>_xlfn.RRI($R$4-$N$4,N50,R50)</f>
        <v>-0.11575568185753915</v>
      </c>
    </row>
    <row r="51" spans="1:19" x14ac:dyDescent="0.25">
      <c r="A51" t="s">
        <v>231</v>
      </c>
      <c r="B51" t="s">
        <v>232</v>
      </c>
      <c r="C51" t="s">
        <v>287</v>
      </c>
      <c r="D51" t="s">
        <v>233</v>
      </c>
      <c r="E51" t="s">
        <v>234</v>
      </c>
      <c r="F51" t="s">
        <v>206</v>
      </c>
      <c r="G51" t="s">
        <v>22</v>
      </c>
      <c r="H51" t="s">
        <v>22</v>
      </c>
      <c r="I51" t="s">
        <v>27</v>
      </c>
      <c r="J51" t="s">
        <v>27</v>
      </c>
      <c r="K51" t="s">
        <v>27</v>
      </c>
      <c r="L51" t="s">
        <v>22</v>
      </c>
      <c r="M51" t="s">
        <v>27</v>
      </c>
      <c r="N51">
        <v>9791</v>
      </c>
      <c r="O51">
        <v>9610</v>
      </c>
      <c r="P51">
        <v>7534</v>
      </c>
      <c r="Q51">
        <v>5080</v>
      </c>
      <c r="R51">
        <v>4936</v>
      </c>
      <c r="S51" s="15">
        <f>_xlfn.RRI($R$4-$N$4,N51,R51)</f>
        <v>-0.15736979056747447</v>
      </c>
    </row>
    <row r="52" spans="1:19" x14ac:dyDescent="0.25">
      <c r="A52" t="s">
        <v>190</v>
      </c>
      <c r="B52" t="s">
        <v>191</v>
      </c>
      <c r="C52" t="s">
        <v>287</v>
      </c>
      <c r="D52" t="s">
        <v>192</v>
      </c>
      <c r="E52" t="s">
        <v>193</v>
      </c>
      <c r="F52" t="s">
        <v>145</v>
      </c>
      <c r="G52" t="s">
        <v>22</v>
      </c>
      <c r="H52" t="s">
        <v>22</v>
      </c>
      <c r="I52" t="s">
        <v>27</v>
      </c>
      <c r="J52" t="s">
        <v>27</v>
      </c>
      <c r="K52" t="s">
        <v>27</v>
      </c>
      <c r="L52" t="s">
        <v>27</v>
      </c>
      <c r="M52" t="s">
        <v>27</v>
      </c>
      <c r="N52">
        <v>8891</v>
      </c>
      <c r="O52">
        <v>5952</v>
      </c>
      <c r="P52">
        <v>5914</v>
      </c>
      <c r="Q52">
        <v>5405</v>
      </c>
      <c r="R52">
        <v>4031</v>
      </c>
      <c r="S52" s="15">
        <f>_xlfn.RRI($R$4-$N$4,N52,R52)</f>
        <v>-0.17943016656995925</v>
      </c>
    </row>
    <row r="53" spans="1:19" x14ac:dyDescent="0.25">
      <c r="A53" t="s">
        <v>93</v>
      </c>
      <c r="B53" t="s">
        <v>94</v>
      </c>
      <c r="C53" t="s">
        <v>287</v>
      </c>
      <c r="D53" t="s">
        <v>95</v>
      </c>
      <c r="E53" t="s">
        <v>96</v>
      </c>
      <c r="F53" t="s">
        <v>84</v>
      </c>
      <c r="G53" t="s">
        <v>22</v>
      </c>
      <c r="H53" t="s">
        <v>22</v>
      </c>
      <c r="I53" t="s">
        <v>27</v>
      </c>
      <c r="J53" t="s">
        <v>27</v>
      </c>
      <c r="K53" t="s">
        <v>27</v>
      </c>
      <c r="L53" t="s">
        <v>27</v>
      </c>
      <c r="M53" t="s">
        <v>27</v>
      </c>
      <c r="N53">
        <v>9773</v>
      </c>
      <c r="O53">
        <v>9179</v>
      </c>
      <c r="P53">
        <v>8390</v>
      </c>
      <c r="Q53">
        <v>8256</v>
      </c>
      <c r="R53">
        <v>3815</v>
      </c>
      <c r="S53" s="15">
        <f>_xlfn.RRI($R$4-$N$4,N53,R53)</f>
        <v>-0.20956409258224717</v>
      </c>
    </row>
    <row r="54" spans="1:19" x14ac:dyDescent="0.25">
      <c r="A54" t="s">
        <v>247</v>
      </c>
      <c r="B54" t="s">
        <v>248</v>
      </c>
      <c r="C54" t="s">
        <v>289</v>
      </c>
      <c r="D54" t="s">
        <v>249</v>
      </c>
      <c r="E54" t="s">
        <v>250</v>
      </c>
      <c r="F54" t="s">
        <v>206</v>
      </c>
      <c r="G54" t="s">
        <v>22</v>
      </c>
      <c r="H54" t="s">
        <v>27</v>
      </c>
      <c r="I54" t="s">
        <v>27</v>
      </c>
      <c r="J54" t="s">
        <v>27</v>
      </c>
      <c r="K54" t="s">
        <v>27</v>
      </c>
      <c r="L54" t="s">
        <v>27</v>
      </c>
      <c r="M54" t="s">
        <v>27</v>
      </c>
      <c r="N54">
        <v>8034</v>
      </c>
      <c r="O54">
        <v>6541</v>
      </c>
      <c r="P54">
        <v>3311</v>
      </c>
      <c r="Q54">
        <v>3254</v>
      </c>
      <c r="R54">
        <v>2687</v>
      </c>
      <c r="S54" s="15">
        <f>_xlfn.RRI($R$4-$N$4,N54,R54)</f>
        <v>-0.23952671916055424</v>
      </c>
    </row>
    <row r="55" spans="1:19" x14ac:dyDescent="0.25">
      <c r="A55" t="s">
        <v>60</v>
      </c>
      <c r="B55" t="s">
        <v>61</v>
      </c>
      <c r="C55" t="s">
        <v>289</v>
      </c>
      <c r="D55" t="s">
        <v>62</v>
      </c>
      <c r="E55" t="s">
        <v>63</v>
      </c>
      <c r="F55" t="s">
        <v>21</v>
      </c>
      <c r="G55" t="s">
        <v>22</v>
      </c>
      <c r="H55" t="s">
        <v>27</v>
      </c>
      <c r="I55" t="s">
        <v>27</v>
      </c>
      <c r="J55" t="s">
        <v>27</v>
      </c>
      <c r="K55" t="s">
        <v>27</v>
      </c>
      <c r="L55" t="s">
        <v>27</v>
      </c>
      <c r="M55" t="s">
        <v>27</v>
      </c>
      <c r="N55">
        <v>7555</v>
      </c>
      <c r="O55">
        <v>6551</v>
      </c>
      <c r="P55">
        <v>5188</v>
      </c>
      <c r="Q55">
        <v>3436</v>
      </c>
      <c r="R55">
        <v>2359</v>
      </c>
      <c r="S55" s="15">
        <f>_xlfn.RRI($R$4-$N$4,N55,R55)</f>
        <v>-0.25247905109930902</v>
      </c>
    </row>
    <row r="56" spans="1:19" x14ac:dyDescent="0.25">
      <c r="A56" t="s">
        <v>52</v>
      </c>
      <c r="B56" t="s">
        <v>53</v>
      </c>
      <c r="C56" t="s">
        <v>287</v>
      </c>
      <c r="D56" t="s">
        <v>54</v>
      </c>
      <c r="E56" t="s">
        <v>55</v>
      </c>
      <c r="F56" t="s">
        <v>21</v>
      </c>
      <c r="G56" t="s">
        <v>22</v>
      </c>
      <c r="H56" t="s">
        <v>27</v>
      </c>
      <c r="I56" t="s">
        <v>27</v>
      </c>
      <c r="J56" t="s">
        <v>27</v>
      </c>
      <c r="K56" t="s">
        <v>27</v>
      </c>
      <c r="L56" t="s">
        <v>22</v>
      </c>
      <c r="M56" t="s">
        <v>27</v>
      </c>
      <c r="N56">
        <v>9766</v>
      </c>
      <c r="O56">
        <v>8049</v>
      </c>
      <c r="P56">
        <v>5556</v>
      </c>
      <c r="Q56">
        <v>5202</v>
      </c>
      <c r="R56">
        <v>2373</v>
      </c>
      <c r="S56" s="15">
        <f>_xlfn.RRI($R$4-$N$4,N56,R56)</f>
        <v>-0.29790601141591733</v>
      </c>
    </row>
    <row r="57" spans="1:19" x14ac:dyDescent="0.25">
      <c r="A57" t="s">
        <v>215</v>
      </c>
      <c r="B57" t="s">
        <v>216</v>
      </c>
      <c r="C57" t="s">
        <v>289</v>
      </c>
      <c r="D57" t="s">
        <v>217</v>
      </c>
      <c r="E57" t="s">
        <v>218</v>
      </c>
      <c r="F57" t="s">
        <v>206</v>
      </c>
      <c r="G57" t="s">
        <v>22</v>
      </c>
      <c r="H57" t="s">
        <v>27</v>
      </c>
      <c r="I57" t="s">
        <v>27</v>
      </c>
      <c r="J57" t="s">
        <v>27</v>
      </c>
      <c r="K57" t="s">
        <v>27</v>
      </c>
      <c r="L57" t="s">
        <v>22</v>
      </c>
      <c r="M57" t="s">
        <v>27</v>
      </c>
      <c r="N57">
        <v>8466</v>
      </c>
      <c r="O57">
        <v>4079</v>
      </c>
      <c r="P57">
        <v>2797</v>
      </c>
      <c r="Q57">
        <v>2245</v>
      </c>
      <c r="R57">
        <v>1696</v>
      </c>
      <c r="S57" s="15">
        <f>_xlfn.RRI($R$4-$N$4,N57,R57)</f>
        <v>-0.33098339677163802</v>
      </c>
    </row>
    <row r="58" spans="1:19" x14ac:dyDescent="0.25">
      <c r="A58" t="s">
        <v>170</v>
      </c>
      <c r="B58" t="s">
        <v>171</v>
      </c>
      <c r="C58" t="s">
        <v>289</v>
      </c>
      <c r="D58" t="s">
        <v>172</v>
      </c>
      <c r="E58" t="s">
        <v>173</v>
      </c>
      <c r="F58" t="s">
        <v>145</v>
      </c>
      <c r="G58" t="s">
        <v>22</v>
      </c>
      <c r="H58" t="s">
        <v>27</v>
      </c>
      <c r="I58" t="s">
        <v>27</v>
      </c>
      <c r="J58" t="s">
        <v>27</v>
      </c>
      <c r="K58" t="s">
        <v>27</v>
      </c>
      <c r="L58" t="s">
        <v>22</v>
      </c>
      <c r="M58" t="s">
        <v>22</v>
      </c>
      <c r="N58">
        <v>7703</v>
      </c>
      <c r="O58">
        <v>6957</v>
      </c>
      <c r="P58">
        <v>3898</v>
      </c>
      <c r="Q58">
        <v>1857</v>
      </c>
      <c r="R58">
        <v>1512</v>
      </c>
      <c r="S58" s="15">
        <f>_xlfn.RRI($R$4-$N$4,N58,R58)</f>
        <v>-0.33438519484677687</v>
      </c>
    </row>
    <row r="59" spans="1:19" x14ac:dyDescent="0.25">
      <c r="A59" t="s">
        <v>121</v>
      </c>
      <c r="B59" t="s">
        <v>122</v>
      </c>
      <c r="C59" t="s">
        <v>289</v>
      </c>
      <c r="D59" t="s">
        <v>123</v>
      </c>
      <c r="E59" t="s">
        <v>124</v>
      </c>
      <c r="F59" t="s">
        <v>84</v>
      </c>
      <c r="G59" t="s">
        <v>22</v>
      </c>
      <c r="H59" t="s">
        <v>27</v>
      </c>
      <c r="I59" t="s">
        <v>27</v>
      </c>
      <c r="J59" t="s">
        <v>27</v>
      </c>
      <c r="K59" t="s">
        <v>22</v>
      </c>
      <c r="L59" t="s">
        <v>27</v>
      </c>
      <c r="M59" t="s">
        <v>27</v>
      </c>
      <c r="N59">
        <v>6156</v>
      </c>
      <c r="O59">
        <v>6110</v>
      </c>
      <c r="P59">
        <v>5791</v>
      </c>
      <c r="Q59">
        <v>1759</v>
      </c>
      <c r="R59">
        <v>969</v>
      </c>
      <c r="S59" s="15">
        <f>_xlfn.RRI($R$4-$N$4,N59,R59)</f>
        <v>-0.37012221518144006</v>
      </c>
    </row>
    <row r="60" spans="1:19" x14ac:dyDescent="0.25">
      <c r="A60" t="s">
        <v>182</v>
      </c>
      <c r="B60" t="s">
        <v>183</v>
      </c>
      <c r="C60" t="s">
        <v>287</v>
      </c>
      <c r="D60" t="s">
        <v>184</v>
      </c>
      <c r="E60" t="s">
        <v>185</v>
      </c>
      <c r="F60" t="s">
        <v>145</v>
      </c>
      <c r="G60" t="s">
        <v>22</v>
      </c>
      <c r="H60" t="s">
        <v>27</v>
      </c>
      <c r="I60" t="s">
        <v>27</v>
      </c>
      <c r="J60" t="s">
        <v>27</v>
      </c>
      <c r="K60" t="s">
        <v>27</v>
      </c>
      <c r="L60" t="s">
        <v>22</v>
      </c>
      <c r="M60" t="s">
        <v>22</v>
      </c>
      <c r="N60">
        <v>7840</v>
      </c>
      <c r="O60">
        <v>5804</v>
      </c>
      <c r="P60">
        <v>4259</v>
      </c>
      <c r="Q60">
        <v>4243</v>
      </c>
      <c r="R60">
        <v>907</v>
      </c>
      <c r="S60" s="15">
        <f>_xlfn.RRI($R$4-$N$4,N60,R60)</f>
        <v>-0.41679289513417705</v>
      </c>
    </row>
    <row r="61" spans="1:19" x14ac:dyDescent="0.25">
      <c r="A61" t="s">
        <v>109</v>
      </c>
      <c r="B61" t="s">
        <v>110</v>
      </c>
      <c r="C61" t="s">
        <v>287</v>
      </c>
      <c r="D61" t="s">
        <v>111</v>
      </c>
      <c r="E61" t="s">
        <v>112</v>
      </c>
      <c r="F61" t="s">
        <v>84</v>
      </c>
      <c r="G61" t="s">
        <v>22</v>
      </c>
      <c r="H61" t="s">
        <v>27</v>
      </c>
      <c r="I61" t="s">
        <v>27</v>
      </c>
      <c r="J61" t="s">
        <v>27</v>
      </c>
      <c r="K61" t="s">
        <v>22</v>
      </c>
      <c r="L61" t="s">
        <v>27</v>
      </c>
      <c r="M61" t="s">
        <v>27</v>
      </c>
      <c r="N61">
        <v>8331</v>
      </c>
      <c r="O61">
        <v>7667</v>
      </c>
      <c r="P61">
        <v>5952</v>
      </c>
      <c r="Q61">
        <v>1998</v>
      </c>
      <c r="R61">
        <v>375</v>
      </c>
      <c r="S61" s="15">
        <f>_xlfn.RRI($R$4-$N$4,N61,R61)</f>
        <v>-0.53938981874158332</v>
      </c>
    </row>
    <row r="62" spans="1:19" x14ac:dyDescent="0.25">
      <c r="A62" t="s">
        <v>76</v>
      </c>
      <c r="B62" t="s">
        <v>77</v>
      </c>
      <c r="C62" t="s">
        <v>287</v>
      </c>
      <c r="D62" t="s">
        <v>78</v>
      </c>
      <c r="E62" t="s">
        <v>79</v>
      </c>
      <c r="F62" t="s">
        <v>21</v>
      </c>
      <c r="G62" t="s">
        <v>22</v>
      </c>
      <c r="H62" t="s">
        <v>22</v>
      </c>
      <c r="I62" t="s">
        <v>27</v>
      </c>
      <c r="J62" t="s">
        <v>27</v>
      </c>
      <c r="K62" t="s">
        <v>27</v>
      </c>
      <c r="L62" t="s">
        <v>27</v>
      </c>
      <c r="M62" t="s">
        <v>27</v>
      </c>
      <c r="N62">
        <v>9058</v>
      </c>
      <c r="O62">
        <v>4839</v>
      </c>
      <c r="P62">
        <v>4776</v>
      </c>
      <c r="Q62">
        <v>4024</v>
      </c>
      <c r="R62">
        <v>369</v>
      </c>
      <c r="S62" s="15">
        <f>_xlfn.RRI($R$4-$N$4,N62,R62)</f>
        <v>-0.55073921414194782</v>
      </c>
    </row>
    <row r="63" spans="1:19" x14ac:dyDescent="0.25">
      <c r="A63" t="s">
        <v>44</v>
      </c>
      <c r="B63" t="s">
        <v>45</v>
      </c>
      <c r="C63" t="s">
        <v>287</v>
      </c>
      <c r="D63" t="s">
        <v>46</v>
      </c>
      <c r="E63" t="s">
        <v>47</v>
      </c>
      <c r="F63" t="s">
        <v>21</v>
      </c>
      <c r="G63" t="s">
        <v>22</v>
      </c>
      <c r="H63" t="s">
        <v>27</v>
      </c>
      <c r="I63" t="s">
        <v>27</v>
      </c>
      <c r="J63" t="s">
        <v>27</v>
      </c>
      <c r="K63" t="s">
        <v>27</v>
      </c>
      <c r="L63" t="s">
        <v>22</v>
      </c>
      <c r="M63" t="s">
        <v>27</v>
      </c>
      <c r="N63">
        <v>9252</v>
      </c>
      <c r="O63">
        <v>8499</v>
      </c>
      <c r="P63">
        <v>991</v>
      </c>
      <c r="Q63">
        <v>448</v>
      </c>
      <c r="R63">
        <v>211</v>
      </c>
      <c r="S63" s="15">
        <f>_xlfn.RRI($R$4-$N$4,N63,R63)</f>
        <v>-0.61139202601329412</v>
      </c>
    </row>
    <row r="64" spans="1:19" x14ac:dyDescent="0.25">
      <c r="A64" t="s">
        <v>202</v>
      </c>
      <c r="B64" t="s">
        <v>203</v>
      </c>
      <c r="C64" t="s">
        <v>289</v>
      </c>
      <c r="D64" t="s">
        <v>204</v>
      </c>
      <c r="E64" t="s">
        <v>205</v>
      </c>
      <c r="F64" t="s">
        <v>206</v>
      </c>
      <c r="G64" t="s">
        <v>22</v>
      </c>
      <c r="H64" t="s">
        <v>27</v>
      </c>
      <c r="I64" t="s">
        <v>27</v>
      </c>
      <c r="J64" t="s">
        <v>27</v>
      </c>
      <c r="K64" t="s">
        <v>27</v>
      </c>
      <c r="L64" t="s">
        <v>22</v>
      </c>
      <c r="M64" t="s">
        <v>27</v>
      </c>
      <c r="N64">
        <v>8156</v>
      </c>
      <c r="O64">
        <v>1245</v>
      </c>
      <c r="P64">
        <v>791</v>
      </c>
      <c r="Q64">
        <v>338</v>
      </c>
      <c r="R64">
        <v>44</v>
      </c>
      <c r="S64" s="15">
        <f>_xlfn.RRI($R$4-$N$4,N64,R64)</f>
        <v>-0.72898466539472961</v>
      </c>
    </row>
  </sheetData>
  <mergeCells count="3">
    <mergeCell ref="G3:I3"/>
    <mergeCell ref="J3:M3"/>
    <mergeCell ref="N3:R3"/>
  </mergeCells>
  <phoneticPr fontId="3" type="noConversion"/>
  <conditionalFormatting sqref="A4:S64">
    <cfRule type="expression" dxfId="6" priority="5">
      <formula>ISBLANK(A4)</formula>
    </cfRule>
    <cfRule type="expression" dxfId="5" priority="6">
      <formula>ISERROR(A4)</formula>
    </cfRule>
  </conditionalFormatting>
  <conditionalFormatting sqref="H4:H64">
    <cfRule type="containsText" dxfId="4" priority="4" operator="containsText" text="no">
      <formula>NOT(ISERROR(SEARCH("no",H4)))</formula>
    </cfRule>
  </conditionalFormatting>
  <conditionalFormatting sqref="S5:S64">
    <cfRule type="cellIs" dxfId="3" priority="2" operator="lessThan">
      <formula>0</formula>
    </cfRule>
    <cfRule type="cellIs" dxfId="2" priority="3" operator="greaterThanOrEqual">
      <formula>1</formula>
    </cfRule>
  </conditionalFormatting>
  <conditionalFormatting sqref="R5:R64">
    <cfRule type="top10" dxfId="1" priority="1" percent="1" rank="10"/>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ABE29-BA6E-4DFD-B771-7871197859FC}">
  <dimension ref="B3:K82"/>
  <sheetViews>
    <sheetView workbookViewId="0">
      <selection activeCell="L11" sqref="L11"/>
    </sheetView>
  </sheetViews>
  <sheetFormatPr defaultRowHeight="15" x14ac:dyDescent="0.25"/>
  <cols>
    <col min="2" max="2" width="19.140625" bestFit="1" customWidth="1"/>
    <col min="3" max="3" width="26.140625" bestFit="1" customWidth="1"/>
    <col min="4" max="4" width="22.5703125" bestFit="1" customWidth="1"/>
    <col min="5" max="5" width="12.28515625" bestFit="1" customWidth="1"/>
    <col min="6" max="6" width="19.140625" bestFit="1" customWidth="1"/>
    <col min="7" max="7" width="22.5703125" bestFit="1" customWidth="1"/>
    <col min="8" max="9" width="11.85546875" bestFit="1" customWidth="1"/>
    <col min="10" max="10" width="12" bestFit="1" customWidth="1"/>
    <col min="11" max="11" width="11.85546875" bestFit="1" customWidth="1"/>
    <col min="12" max="13" width="18.5703125" bestFit="1" customWidth="1"/>
    <col min="14" max="14" width="21" bestFit="1" customWidth="1"/>
    <col min="15" max="16" width="18.5703125" bestFit="1" customWidth="1"/>
    <col min="17" max="17" width="8.42578125" bestFit="1" customWidth="1"/>
    <col min="18" max="18" width="6" bestFit="1" customWidth="1"/>
    <col min="19" max="19" width="4.140625" bestFit="1" customWidth="1"/>
    <col min="20" max="20" width="9" bestFit="1" customWidth="1"/>
    <col min="21" max="21" width="9.140625" bestFit="1" customWidth="1"/>
    <col min="22" max="22" width="12.140625" bestFit="1" customWidth="1"/>
    <col min="23" max="23" width="25.7109375" bestFit="1" customWidth="1"/>
    <col min="24" max="24" width="22" bestFit="1" customWidth="1"/>
    <col min="25" max="25" width="29.42578125" bestFit="1" customWidth="1"/>
    <col min="26" max="26" width="8.42578125" bestFit="1" customWidth="1"/>
    <col min="27" max="27" width="6" bestFit="1" customWidth="1"/>
    <col min="28" max="28" width="4.140625" bestFit="1" customWidth="1"/>
    <col min="29" max="29" width="9" bestFit="1" customWidth="1"/>
    <col min="30" max="30" width="24.42578125" bestFit="1" customWidth="1"/>
    <col min="31" max="31" width="8.42578125" bestFit="1" customWidth="1"/>
    <col min="32" max="32" width="6" bestFit="1" customWidth="1"/>
    <col min="33" max="33" width="4.140625" bestFit="1" customWidth="1"/>
    <col min="34" max="34" width="9" bestFit="1" customWidth="1"/>
    <col min="35" max="35" width="24.28515625" bestFit="1" customWidth="1"/>
    <col min="36" max="36" width="20.5703125" bestFit="1" customWidth="1"/>
    <col min="37" max="37" width="28.140625" bestFit="1" customWidth="1"/>
    <col min="38" max="38" width="20.5703125" bestFit="1" customWidth="1"/>
    <col min="39" max="39" width="12.140625" bestFit="1" customWidth="1"/>
    <col min="40" max="40" width="16.85546875" bestFit="1" customWidth="1"/>
    <col min="41" max="41" width="12.140625" bestFit="1" customWidth="1"/>
    <col min="42" max="42" width="24.42578125" bestFit="1" customWidth="1"/>
    <col min="43" max="43" width="12.140625" bestFit="1" customWidth="1"/>
    <col min="44" max="44" width="27.5703125" bestFit="1" customWidth="1"/>
    <col min="45" max="45" width="23.85546875" bestFit="1" customWidth="1"/>
    <col min="46" max="46" width="31.42578125" bestFit="1" customWidth="1"/>
    <col min="47" max="47" width="25.7109375" bestFit="1" customWidth="1"/>
    <col min="48" max="48" width="22" bestFit="1" customWidth="1"/>
    <col min="49" max="49" width="29.42578125" bestFit="1" customWidth="1"/>
    <col min="50" max="50" width="8.42578125" bestFit="1" customWidth="1"/>
    <col min="51" max="51" width="6" bestFit="1" customWidth="1"/>
    <col min="52" max="52" width="9" bestFit="1" customWidth="1"/>
    <col min="53" max="53" width="23.7109375" bestFit="1" customWidth="1"/>
    <col min="54" max="54" width="20" bestFit="1" customWidth="1"/>
    <col min="55" max="55" width="27.5703125" bestFit="1" customWidth="1"/>
    <col min="56" max="56" width="20.5703125" bestFit="1" customWidth="1"/>
    <col min="57" max="57" width="8.42578125" bestFit="1" customWidth="1"/>
    <col min="58" max="58" width="6" bestFit="1" customWidth="1"/>
    <col min="59" max="59" width="4.140625" bestFit="1" customWidth="1"/>
    <col min="60" max="60" width="9" bestFit="1" customWidth="1"/>
    <col min="61" max="61" width="16.85546875" bestFit="1" customWidth="1"/>
    <col min="62" max="62" width="8.42578125" bestFit="1" customWidth="1"/>
    <col min="63" max="63" width="6" bestFit="1" customWidth="1"/>
    <col min="64" max="64" width="4.140625" bestFit="1" customWidth="1"/>
    <col min="65" max="65" width="9" bestFit="1" customWidth="1"/>
    <col min="66" max="66" width="24.42578125" bestFit="1" customWidth="1"/>
    <col min="67" max="67" width="8.42578125" bestFit="1" customWidth="1"/>
    <col min="68" max="68" width="6" bestFit="1" customWidth="1"/>
    <col min="69" max="69" width="4.140625" bestFit="1" customWidth="1"/>
    <col min="70" max="70" width="9" bestFit="1" customWidth="1"/>
    <col min="71" max="71" width="24.28515625" bestFit="1" customWidth="1"/>
    <col min="72" max="72" width="20.5703125" bestFit="1" customWidth="1"/>
    <col min="73" max="73" width="28.140625" bestFit="1" customWidth="1"/>
    <col min="74" max="74" width="20.5703125" bestFit="1" customWidth="1"/>
    <col min="75" max="75" width="12.140625" bestFit="1" customWidth="1"/>
    <col min="76" max="76" width="16.85546875" bestFit="1" customWidth="1"/>
    <col min="77" max="77" width="12.140625" bestFit="1" customWidth="1"/>
    <col min="78" max="78" width="24.42578125" bestFit="1" customWidth="1"/>
    <col min="79" max="79" width="12.140625" bestFit="1" customWidth="1"/>
    <col min="80" max="80" width="27.5703125" bestFit="1" customWidth="1"/>
    <col min="81" max="81" width="23.85546875" bestFit="1" customWidth="1"/>
    <col min="82" max="82" width="31.42578125" bestFit="1" customWidth="1"/>
    <col min="83" max="83" width="24.28515625" bestFit="1" customWidth="1"/>
    <col min="84" max="84" width="20.5703125" bestFit="1" customWidth="1"/>
    <col min="85" max="85" width="28.140625" bestFit="1" customWidth="1"/>
    <col min="86" max="86" width="25.7109375" bestFit="1" customWidth="1"/>
    <col min="87" max="87" width="22" bestFit="1" customWidth="1"/>
    <col min="88" max="88" width="29.42578125" bestFit="1" customWidth="1"/>
  </cols>
  <sheetData>
    <row r="3" spans="2:11" x14ac:dyDescent="0.25">
      <c r="B3" s="11" t="s">
        <v>269</v>
      </c>
      <c r="C3" t="s">
        <v>276</v>
      </c>
      <c r="D3" t="s">
        <v>277</v>
      </c>
      <c r="E3" t="s">
        <v>278</v>
      </c>
      <c r="F3" t="s">
        <v>279</v>
      </c>
      <c r="G3" t="s">
        <v>280</v>
      </c>
    </row>
    <row r="4" spans="2:11" x14ac:dyDescent="0.25">
      <c r="B4" s="12" t="s">
        <v>84</v>
      </c>
      <c r="C4" s="14">
        <v>46025</v>
      </c>
      <c r="D4" s="14">
        <v>65032</v>
      </c>
      <c r="E4" s="14">
        <v>77731</v>
      </c>
      <c r="F4" s="14">
        <v>89595</v>
      </c>
      <c r="G4" s="14">
        <v>102185</v>
      </c>
    </row>
    <row r="5" spans="2:11" x14ac:dyDescent="0.25">
      <c r="B5" s="12" t="s">
        <v>145</v>
      </c>
      <c r="C5" s="14">
        <v>47259</v>
      </c>
      <c r="D5" s="14">
        <v>67275</v>
      </c>
      <c r="E5" s="14">
        <v>79646</v>
      </c>
      <c r="F5" s="14">
        <v>102065</v>
      </c>
      <c r="G5" s="14">
        <v>112270</v>
      </c>
    </row>
    <row r="6" spans="2:11" x14ac:dyDescent="0.25">
      <c r="B6" s="12" t="s">
        <v>21</v>
      </c>
      <c r="C6" s="14">
        <v>51804</v>
      </c>
      <c r="D6" s="14">
        <v>60121</v>
      </c>
      <c r="E6" s="14">
        <v>60760</v>
      </c>
      <c r="F6" s="14">
        <v>75991</v>
      </c>
      <c r="G6" s="14">
        <v>94147</v>
      </c>
    </row>
    <row r="7" spans="2:11" x14ac:dyDescent="0.25">
      <c r="B7" s="12" t="s">
        <v>206</v>
      </c>
      <c r="C7" s="14">
        <v>44888</v>
      </c>
      <c r="D7" s="14">
        <v>50567</v>
      </c>
      <c r="E7" s="14">
        <v>70312</v>
      </c>
      <c r="F7" s="14">
        <v>82583</v>
      </c>
      <c r="G7" s="14">
        <v>100592</v>
      </c>
    </row>
    <row r="8" spans="2:11" x14ac:dyDescent="0.25">
      <c r="B8" s="12" t="s">
        <v>270</v>
      </c>
      <c r="C8" s="14">
        <v>189976</v>
      </c>
      <c r="D8" s="14">
        <v>242995</v>
      </c>
      <c r="E8" s="14">
        <v>288449</v>
      </c>
      <c r="F8" s="14">
        <v>350234</v>
      </c>
      <c r="G8" s="14">
        <v>409194</v>
      </c>
    </row>
    <row r="10" spans="2:11" x14ac:dyDescent="0.25">
      <c r="B10" s="11" t="s">
        <v>269</v>
      </c>
      <c r="C10" t="s">
        <v>282</v>
      </c>
      <c r="D10" t="s">
        <v>286</v>
      </c>
      <c r="F10" s="17" t="s">
        <v>269</v>
      </c>
      <c r="G10" t="s">
        <v>276</v>
      </c>
      <c r="H10" t="s">
        <v>277</v>
      </c>
      <c r="I10" t="s">
        <v>278</v>
      </c>
      <c r="J10" t="s">
        <v>279</v>
      </c>
      <c r="K10" t="s">
        <v>280</v>
      </c>
    </row>
    <row r="11" spans="2:11" x14ac:dyDescent="0.25">
      <c r="B11" s="12" t="s">
        <v>27</v>
      </c>
      <c r="C11" s="14">
        <v>36</v>
      </c>
      <c r="D11" s="15">
        <v>0.17485748558288577</v>
      </c>
      <c r="F11" s="18">
        <v>-0.72898466539472961</v>
      </c>
      <c r="G11" s="14">
        <v>8156</v>
      </c>
      <c r="H11" s="14">
        <v>1245</v>
      </c>
      <c r="I11" s="14">
        <v>791</v>
      </c>
      <c r="J11" s="14">
        <v>338</v>
      </c>
      <c r="K11" s="14">
        <v>44</v>
      </c>
    </row>
    <row r="12" spans="2:11" x14ac:dyDescent="0.25">
      <c r="B12" s="12" t="s">
        <v>22</v>
      </c>
      <c r="C12" s="14">
        <v>24</v>
      </c>
      <c r="D12" s="15">
        <v>0.9747262551782816</v>
      </c>
      <c r="F12" s="18">
        <v>-0.61139202601329412</v>
      </c>
      <c r="G12" s="14">
        <v>9252</v>
      </c>
      <c r="H12" s="14">
        <v>8499</v>
      </c>
      <c r="I12" s="14">
        <v>991</v>
      </c>
      <c r="J12" s="14">
        <v>448</v>
      </c>
      <c r="K12" s="14">
        <v>211</v>
      </c>
    </row>
    <row r="13" spans="2:11" x14ac:dyDescent="0.25">
      <c r="F13" s="18">
        <v>-0.55073921414194782</v>
      </c>
      <c r="G13" s="14">
        <v>9058</v>
      </c>
      <c r="H13" s="14">
        <v>4839</v>
      </c>
      <c r="I13" s="14">
        <v>4776</v>
      </c>
      <c r="J13" s="14">
        <v>4024</v>
      </c>
      <c r="K13" s="14">
        <v>369</v>
      </c>
    </row>
    <row r="14" spans="2:11" x14ac:dyDescent="0.25">
      <c r="B14" s="11" t="s">
        <v>269</v>
      </c>
      <c r="C14" t="s">
        <v>284</v>
      </c>
      <c r="D14" t="s">
        <v>286</v>
      </c>
      <c r="F14" s="18">
        <v>-0.53938981874158332</v>
      </c>
      <c r="G14" s="14">
        <v>8331</v>
      </c>
      <c r="H14" s="14">
        <v>7667</v>
      </c>
      <c r="I14" s="14">
        <v>5952</v>
      </c>
      <c r="J14" s="14">
        <v>1998</v>
      </c>
      <c r="K14" s="14">
        <v>375</v>
      </c>
    </row>
    <row r="15" spans="2:11" x14ac:dyDescent="0.25">
      <c r="B15" s="12" t="s">
        <v>27</v>
      </c>
      <c r="C15" s="14">
        <v>17</v>
      </c>
      <c r="D15" s="15">
        <v>0.12744734637005947</v>
      </c>
      <c r="F15" s="18">
        <v>-0.41679289513417705</v>
      </c>
      <c r="G15" s="14">
        <v>7840</v>
      </c>
      <c r="H15" s="14">
        <v>5804</v>
      </c>
      <c r="I15" s="14">
        <v>4259</v>
      </c>
      <c r="J15" s="14">
        <v>4243</v>
      </c>
      <c r="K15" s="14">
        <v>907</v>
      </c>
    </row>
    <row r="16" spans="2:11" x14ac:dyDescent="0.25">
      <c r="B16" s="12" t="s">
        <v>22</v>
      </c>
      <c r="C16" s="14">
        <v>42</v>
      </c>
      <c r="D16" s="15">
        <v>0.5755209527738494</v>
      </c>
      <c r="F16" s="18">
        <v>-0.37012221518144006</v>
      </c>
      <c r="G16" s="14">
        <v>6156</v>
      </c>
      <c r="H16" s="14">
        <v>6110</v>
      </c>
      <c r="I16" s="14">
        <v>5791</v>
      </c>
      <c r="J16" s="14">
        <v>1759</v>
      </c>
      <c r="K16" s="14">
        <v>969</v>
      </c>
    </row>
    <row r="17" spans="2:11" x14ac:dyDescent="0.25">
      <c r="F17" s="18">
        <v>-0.33438519484677687</v>
      </c>
      <c r="G17" s="14">
        <v>7703</v>
      </c>
      <c r="H17" s="14">
        <v>6957</v>
      </c>
      <c r="I17" s="14">
        <v>3898</v>
      </c>
      <c r="J17" s="14">
        <v>1857</v>
      </c>
      <c r="K17" s="14">
        <v>1512</v>
      </c>
    </row>
    <row r="18" spans="2:11" x14ac:dyDescent="0.25">
      <c r="B18" s="11" t="s">
        <v>269</v>
      </c>
      <c r="C18" t="s">
        <v>283</v>
      </c>
      <c r="D18" t="s">
        <v>286</v>
      </c>
      <c r="F18" s="18">
        <v>-0.33098339677163802</v>
      </c>
      <c r="G18" s="14">
        <v>8466</v>
      </c>
      <c r="H18" s="14">
        <v>4079</v>
      </c>
      <c r="I18" s="14">
        <v>2797</v>
      </c>
      <c r="J18" s="14">
        <v>2245</v>
      </c>
      <c r="K18" s="14">
        <v>1696</v>
      </c>
    </row>
    <row r="19" spans="2:11" x14ac:dyDescent="0.25">
      <c r="B19" s="12" t="s">
        <v>27</v>
      </c>
      <c r="C19" s="14">
        <v>40</v>
      </c>
      <c r="D19" s="15">
        <v>0.34165653805738999</v>
      </c>
      <c r="F19" s="18">
        <v>-0.29790601141591733</v>
      </c>
      <c r="G19" s="14">
        <v>9766</v>
      </c>
      <c r="H19" s="14">
        <v>8049</v>
      </c>
      <c r="I19" s="14">
        <v>5556</v>
      </c>
      <c r="J19" s="14">
        <v>5202</v>
      </c>
      <c r="K19" s="14">
        <v>2373</v>
      </c>
    </row>
    <row r="20" spans="2:11" x14ac:dyDescent="0.25">
      <c r="B20" s="12" t="s">
        <v>22</v>
      </c>
      <c r="C20" s="14">
        <v>19</v>
      </c>
      <c r="D20" s="15">
        <v>0.66695912539458369</v>
      </c>
      <c r="F20" s="18">
        <v>-0.25247905109930902</v>
      </c>
      <c r="G20" s="14">
        <v>7555</v>
      </c>
      <c r="H20" s="14">
        <v>6551</v>
      </c>
      <c r="I20" s="14">
        <v>5188</v>
      </c>
      <c r="J20" s="14">
        <v>3436</v>
      </c>
      <c r="K20" s="14">
        <v>2359</v>
      </c>
    </row>
    <row r="21" spans="2:11" x14ac:dyDescent="0.25">
      <c r="F21" s="18">
        <v>-0.23952671916055424</v>
      </c>
      <c r="G21" s="14">
        <v>8034</v>
      </c>
      <c r="H21" s="14">
        <v>6541</v>
      </c>
      <c r="I21" s="14">
        <v>3311</v>
      </c>
      <c r="J21" s="14">
        <v>3254</v>
      </c>
      <c r="K21" s="14">
        <v>2687</v>
      </c>
    </row>
    <row r="22" spans="2:11" x14ac:dyDescent="0.25">
      <c r="B22" s="11" t="s">
        <v>269</v>
      </c>
      <c r="C22" t="s">
        <v>285</v>
      </c>
      <c r="D22" t="s">
        <v>286</v>
      </c>
      <c r="F22" s="18">
        <v>-0.20956409258224717</v>
      </c>
      <c r="G22" s="14">
        <v>9773</v>
      </c>
      <c r="H22" s="14">
        <v>9179</v>
      </c>
      <c r="I22" s="14">
        <v>8390</v>
      </c>
      <c r="J22" s="14">
        <v>8256</v>
      </c>
      <c r="K22" s="14">
        <v>3815</v>
      </c>
    </row>
    <row r="23" spans="2:11" x14ac:dyDescent="0.25">
      <c r="B23" s="12" t="s">
        <v>27</v>
      </c>
      <c r="C23" s="14">
        <v>43</v>
      </c>
      <c r="D23" s="15">
        <v>0.44778467976494712</v>
      </c>
      <c r="F23" s="18">
        <v>-0.17943016656995925</v>
      </c>
      <c r="G23" s="14">
        <v>8891</v>
      </c>
      <c r="H23" s="14">
        <v>5952</v>
      </c>
      <c r="I23" s="14">
        <v>5914</v>
      </c>
      <c r="J23" s="14">
        <v>5405</v>
      </c>
      <c r="K23" s="14">
        <v>4031</v>
      </c>
    </row>
    <row r="24" spans="2:11" x14ac:dyDescent="0.25">
      <c r="B24" s="12" t="s">
        <v>22</v>
      </c>
      <c r="C24" s="14">
        <v>17</v>
      </c>
      <c r="D24" s="15">
        <v>0.61373872796293627</v>
      </c>
      <c r="F24" s="18">
        <v>-0.15736979056747447</v>
      </c>
      <c r="G24" s="14">
        <v>9791</v>
      </c>
      <c r="H24" s="14">
        <v>9610</v>
      </c>
      <c r="I24" s="14">
        <v>7534</v>
      </c>
      <c r="J24" s="14">
        <v>5080</v>
      </c>
      <c r="K24" s="14">
        <v>4936</v>
      </c>
    </row>
    <row r="25" spans="2:11" x14ac:dyDescent="0.25">
      <c r="F25" s="18">
        <v>-0.11575568185753915</v>
      </c>
      <c r="G25" s="14">
        <v>6309</v>
      </c>
      <c r="H25" s="14">
        <v>6227</v>
      </c>
      <c r="I25" s="14">
        <v>5123</v>
      </c>
      <c r="J25" s="14">
        <v>4968</v>
      </c>
      <c r="K25" s="14">
        <v>3857</v>
      </c>
    </row>
    <row r="26" spans="2:11" x14ac:dyDescent="0.25">
      <c r="B26" s="11" t="s">
        <v>269</v>
      </c>
      <c r="C26" t="s">
        <v>281</v>
      </c>
      <c r="F26" s="18">
        <v>-7.1596691853915484E-2</v>
      </c>
      <c r="G26" s="14">
        <v>8873</v>
      </c>
      <c r="H26" s="14">
        <v>8484</v>
      </c>
      <c r="I26" s="14">
        <v>7883</v>
      </c>
      <c r="J26" s="14">
        <v>7499</v>
      </c>
      <c r="K26" s="14">
        <v>6592</v>
      </c>
    </row>
    <row r="27" spans="2:11" x14ac:dyDescent="0.25">
      <c r="B27" s="12" t="s">
        <v>125</v>
      </c>
      <c r="C27" s="15">
        <v>1.5203389637502625</v>
      </c>
      <c r="F27" s="18">
        <v>0</v>
      </c>
      <c r="G27" s="14">
        <v>2487</v>
      </c>
      <c r="H27" s="14">
        <v>6050</v>
      </c>
      <c r="I27" s="14">
        <v>9479</v>
      </c>
      <c r="J27" s="14">
        <v>13523</v>
      </c>
      <c r="K27" s="14">
        <v>19187</v>
      </c>
    </row>
    <row r="28" spans="2:11" x14ac:dyDescent="0.25">
      <c r="B28" s="12" t="s">
        <v>97</v>
      </c>
      <c r="C28" s="15">
        <v>2.2455667067018901</v>
      </c>
      <c r="F28" s="18">
        <v>0.17983468576187267</v>
      </c>
      <c r="G28" s="14">
        <v>3916</v>
      </c>
      <c r="H28" s="14">
        <v>4218</v>
      </c>
      <c r="I28" s="14">
        <v>5072</v>
      </c>
      <c r="J28" s="14">
        <v>5201</v>
      </c>
      <c r="K28" s="14">
        <v>7588</v>
      </c>
    </row>
    <row r="29" spans="2:11" x14ac:dyDescent="0.25">
      <c r="B29" s="12" t="s">
        <v>101</v>
      </c>
      <c r="C29" s="15">
        <v>1.4232703532020747</v>
      </c>
      <c r="F29" s="18">
        <v>0.18148193130433588</v>
      </c>
      <c r="G29" s="14">
        <v>2390</v>
      </c>
      <c r="H29" s="14">
        <v>2415</v>
      </c>
      <c r="I29" s="14">
        <v>3461</v>
      </c>
      <c r="J29" s="14">
        <v>3850</v>
      </c>
      <c r="K29" s="14">
        <v>4657</v>
      </c>
    </row>
    <row r="30" spans="2:11" x14ac:dyDescent="0.25">
      <c r="B30" s="12" t="s">
        <v>178</v>
      </c>
      <c r="C30" s="15">
        <v>1.1188084145320056</v>
      </c>
      <c r="F30" s="18">
        <v>0.25489826874508914</v>
      </c>
      <c r="G30" s="14">
        <v>2786</v>
      </c>
      <c r="H30" s="14">
        <v>3804</v>
      </c>
      <c r="I30" s="14">
        <v>4121</v>
      </c>
      <c r="J30" s="14">
        <v>6210</v>
      </c>
      <c r="K30" s="14">
        <v>6909</v>
      </c>
    </row>
    <row r="31" spans="2:11" x14ac:dyDescent="0.25">
      <c r="B31" s="12" t="s">
        <v>198</v>
      </c>
      <c r="C31" s="15">
        <v>1.0930046233022455</v>
      </c>
      <c r="F31" s="18">
        <v>0.27407081068210992</v>
      </c>
      <c r="G31" s="14">
        <v>3501</v>
      </c>
      <c r="H31" s="14">
        <v>7079</v>
      </c>
      <c r="I31" s="14">
        <v>7438</v>
      </c>
      <c r="J31" s="14">
        <v>7443</v>
      </c>
      <c r="K31" s="14">
        <v>9225</v>
      </c>
    </row>
    <row r="32" spans="2:11" x14ac:dyDescent="0.25">
      <c r="B32" s="12" t="s">
        <v>146</v>
      </c>
      <c r="C32" s="15">
        <v>1.8142296888697582</v>
      </c>
      <c r="F32" s="18">
        <v>0.30577482876902251</v>
      </c>
      <c r="G32" s="14">
        <v>3297</v>
      </c>
      <c r="H32" s="14">
        <v>4866</v>
      </c>
      <c r="I32" s="14">
        <v>4928</v>
      </c>
      <c r="J32" s="14">
        <v>8451</v>
      </c>
      <c r="K32" s="14">
        <v>9585</v>
      </c>
    </row>
    <row r="33" spans="2:11" x14ac:dyDescent="0.25">
      <c r="B33" s="12" t="s">
        <v>174</v>
      </c>
      <c r="C33" s="15">
        <v>1.084072328017021</v>
      </c>
      <c r="F33" s="18">
        <v>0.36636455401735013</v>
      </c>
      <c r="G33" s="14">
        <v>2519</v>
      </c>
      <c r="H33" s="14">
        <v>3938</v>
      </c>
      <c r="I33" s="14">
        <v>5190</v>
      </c>
      <c r="J33" s="14">
        <v>8203</v>
      </c>
      <c r="K33" s="14">
        <v>8780</v>
      </c>
    </row>
    <row r="34" spans="2:11" x14ac:dyDescent="0.25">
      <c r="B34" s="12" t="s">
        <v>68</v>
      </c>
      <c r="C34" s="15">
        <v>3.3498147004699526</v>
      </c>
      <c r="F34" s="18">
        <v>0.3690560602470212</v>
      </c>
      <c r="G34" s="14">
        <v>1532</v>
      </c>
      <c r="H34" s="14">
        <v>2678</v>
      </c>
      <c r="I34" s="14">
        <v>4068</v>
      </c>
      <c r="J34" s="14">
        <v>4278</v>
      </c>
      <c r="K34" s="14">
        <v>5382</v>
      </c>
    </row>
    <row r="35" spans="2:11" x14ac:dyDescent="0.25">
      <c r="B35" s="12" t="s">
        <v>243</v>
      </c>
      <c r="C35" s="15">
        <v>1.6546701130112136</v>
      </c>
      <c r="F35" s="18">
        <v>0.38456165928272146</v>
      </c>
      <c r="G35" s="14">
        <v>2541</v>
      </c>
      <c r="H35" s="14">
        <v>3794</v>
      </c>
      <c r="I35" s="14">
        <v>3984</v>
      </c>
      <c r="J35" s="14">
        <v>8803</v>
      </c>
      <c r="K35" s="14">
        <v>9338</v>
      </c>
    </row>
    <row r="36" spans="2:11" x14ac:dyDescent="0.25">
      <c r="B36" s="12" t="s">
        <v>207</v>
      </c>
      <c r="C36" s="15">
        <v>1.3475541667800686</v>
      </c>
      <c r="F36" s="18">
        <v>0.390755806385503</v>
      </c>
      <c r="G36" s="14">
        <v>2341</v>
      </c>
      <c r="H36" s="14">
        <v>6105</v>
      </c>
      <c r="I36" s="14">
        <v>7777</v>
      </c>
      <c r="J36" s="14">
        <v>7891</v>
      </c>
      <c r="K36" s="14">
        <v>8758</v>
      </c>
    </row>
    <row r="37" spans="2:11" x14ac:dyDescent="0.25">
      <c r="F37" s="18">
        <v>0.40734683274409145</v>
      </c>
      <c r="G37" s="14">
        <v>1530</v>
      </c>
      <c r="H37" s="14">
        <v>1620</v>
      </c>
      <c r="I37" s="14">
        <v>2027</v>
      </c>
      <c r="J37" s="14">
        <v>4881</v>
      </c>
      <c r="K37" s="14">
        <v>6002</v>
      </c>
    </row>
    <row r="38" spans="2:11" x14ac:dyDescent="0.25">
      <c r="B38" s="11" t="s">
        <v>292</v>
      </c>
      <c r="C38" t="s">
        <v>286</v>
      </c>
      <c r="F38" s="18">
        <v>0.42582583880267388</v>
      </c>
      <c r="G38" s="14">
        <v>1421</v>
      </c>
      <c r="H38" s="14">
        <v>1893</v>
      </c>
      <c r="I38" s="14">
        <v>2722</v>
      </c>
      <c r="J38" s="14">
        <v>4410</v>
      </c>
      <c r="K38" s="14">
        <v>5873</v>
      </c>
    </row>
    <row r="39" spans="2:11" x14ac:dyDescent="0.25">
      <c r="B39" s="12" t="s">
        <v>290</v>
      </c>
      <c r="C39" s="15">
        <v>0.89216044791710369</v>
      </c>
      <c r="F39" s="18">
        <v>0.46352749292411066</v>
      </c>
      <c r="G39" s="14">
        <v>1982</v>
      </c>
      <c r="H39" s="14">
        <v>5388</v>
      </c>
      <c r="I39" s="14">
        <v>7063</v>
      </c>
      <c r="J39" s="14">
        <v>7208</v>
      </c>
      <c r="K39" s="14">
        <v>9093</v>
      </c>
    </row>
    <row r="40" spans="2:11" x14ac:dyDescent="0.25">
      <c r="B40" s="12" t="s">
        <v>289</v>
      </c>
      <c r="C40" s="15">
        <v>0.33005810730030805</v>
      </c>
      <c r="F40" s="18">
        <v>0.52294422157633269</v>
      </c>
      <c r="G40" s="14">
        <v>1779</v>
      </c>
      <c r="H40" s="14">
        <v>2124</v>
      </c>
      <c r="I40" s="14">
        <v>2844</v>
      </c>
      <c r="J40" s="14">
        <v>6877</v>
      </c>
      <c r="K40" s="14">
        <v>9570</v>
      </c>
    </row>
    <row r="41" spans="2:11" x14ac:dyDescent="0.25">
      <c r="B41" s="12" t="s">
        <v>287</v>
      </c>
      <c r="C41" s="15">
        <v>0.37096312862519232</v>
      </c>
      <c r="F41" s="18">
        <v>0.57793816418173161</v>
      </c>
      <c r="G41" s="14">
        <v>1323</v>
      </c>
      <c r="H41" s="14">
        <v>4963</v>
      </c>
      <c r="I41" s="14">
        <v>6292</v>
      </c>
      <c r="J41" s="14">
        <v>6728</v>
      </c>
      <c r="K41" s="14">
        <v>8202</v>
      </c>
    </row>
    <row r="42" spans="2:11" x14ac:dyDescent="0.25">
      <c r="B42" s="12" t="s">
        <v>288</v>
      </c>
      <c r="C42" s="15">
        <v>0.39452500346994762</v>
      </c>
      <c r="F42" s="18">
        <v>0.58272982283102692</v>
      </c>
      <c r="G42" s="14">
        <v>1032</v>
      </c>
      <c r="H42" s="14">
        <v>3919</v>
      </c>
      <c r="I42" s="14">
        <v>4466</v>
      </c>
      <c r="J42" s="14">
        <v>5568</v>
      </c>
      <c r="K42" s="14">
        <v>6476</v>
      </c>
    </row>
    <row r="43" spans="2:11" x14ac:dyDescent="0.25">
      <c r="B43" s="12" t="s">
        <v>291</v>
      </c>
      <c r="C43" s="15">
        <v>1.8142296888697582</v>
      </c>
      <c r="F43" s="18">
        <v>0.60045892388204325</v>
      </c>
      <c r="G43" s="14">
        <v>1497</v>
      </c>
      <c r="H43" s="14">
        <v>1768</v>
      </c>
      <c r="I43" s="14">
        <v>2804</v>
      </c>
      <c r="J43" s="14">
        <v>5718</v>
      </c>
      <c r="K43" s="14">
        <v>9822</v>
      </c>
    </row>
    <row r="44" spans="2:11" x14ac:dyDescent="0.25">
      <c r="F44" s="18">
        <v>0.61767741115573149</v>
      </c>
      <c r="G44" s="14">
        <v>1290</v>
      </c>
      <c r="H44" s="14">
        <v>4033</v>
      </c>
      <c r="I44" s="14">
        <v>6956</v>
      </c>
      <c r="J44" s="14">
        <v>7929</v>
      </c>
      <c r="K44" s="14">
        <v>8834</v>
      </c>
    </row>
    <row r="45" spans="2:11" x14ac:dyDescent="0.25">
      <c r="B45" s="13" t="s">
        <v>8</v>
      </c>
      <c r="C45" s="13" t="s">
        <v>293</v>
      </c>
      <c r="F45" s="18">
        <v>0.63431246502429839</v>
      </c>
      <c r="G45" s="14">
        <v>1357</v>
      </c>
      <c r="H45" s="14">
        <v>4189</v>
      </c>
      <c r="I45" s="14">
        <v>5407</v>
      </c>
      <c r="J45" s="14">
        <v>6233</v>
      </c>
      <c r="K45" s="14">
        <v>9681</v>
      </c>
    </row>
    <row r="46" spans="2:11" x14ac:dyDescent="0.25">
      <c r="B46" s="12" t="s">
        <v>84</v>
      </c>
      <c r="C46">
        <f>SUM(C4:G4)</f>
        <v>380568</v>
      </c>
      <c r="F46" s="18">
        <v>0.64359095818904954</v>
      </c>
      <c r="G46" s="14">
        <v>1368</v>
      </c>
      <c r="H46" s="14">
        <v>3447</v>
      </c>
      <c r="I46" s="14">
        <v>4535</v>
      </c>
      <c r="J46" s="14">
        <v>5476</v>
      </c>
      <c r="K46" s="14">
        <v>9983</v>
      </c>
    </row>
    <row r="47" spans="2:11" x14ac:dyDescent="0.25">
      <c r="B47" s="12" t="s">
        <v>145</v>
      </c>
      <c r="C47">
        <f t="shared" ref="C47:C49" si="0">SUM(C5:G5)</f>
        <v>408515</v>
      </c>
      <c r="F47" s="18">
        <v>0.66163405613342663</v>
      </c>
      <c r="G47" s="14">
        <v>1014</v>
      </c>
      <c r="H47" s="14">
        <v>2254</v>
      </c>
      <c r="I47" s="14">
        <v>4534</v>
      </c>
      <c r="J47" s="14">
        <v>6796</v>
      </c>
      <c r="K47" s="14">
        <v>7730</v>
      </c>
    </row>
    <row r="48" spans="2:11" x14ac:dyDescent="0.25">
      <c r="B48" s="12" t="s">
        <v>21</v>
      </c>
      <c r="C48">
        <f t="shared" si="0"/>
        <v>342823</v>
      </c>
      <c r="F48" s="18">
        <v>0.66412244620782168</v>
      </c>
      <c r="G48" s="14">
        <v>1263</v>
      </c>
      <c r="H48" s="14">
        <v>2517</v>
      </c>
      <c r="I48" s="14">
        <v>8042</v>
      </c>
      <c r="J48" s="14">
        <v>8222</v>
      </c>
      <c r="K48" s="14">
        <v>9686</v>
      </c>
    </row>
    <row r="49" spans="2:11" x14ac:dyDescent="0.25">
      <c r="B49" s="12" t="s">
        <v>206</v>
      </c>
      <c r="C49">
        <f t="shared" si="0"/>
        <v>348942</v>
      </c>
      <c r="F49" s="18">
        <v>0.68595057009486848</v>
      </c>
      <c r="G49" s="14">
        <v>1209</v>
      </c>
      <c r="H49" s="14">
        <v>1534</v>
      </c>
      <c r="I49" s="14">
        <v>1634</v>
      </c>
      <c r="J49" s="14">
        <v>4302</v>
      </c>
      <c r="K49" s="14">
        <v>9768</v>
      </c>
    </row>
    <row r="50" spans="2:11" x14ac:dyDescent="0.25">
      <c r="F50" s="18">
        <v>0.71094693671276654</v>
      </c>
      <c r="G50" s="14">
        <v>1082</v>
      </c>
      <c r="H50" s="14">
        <v>3353</v>
      </c>
      <c r="I50" s="14">
        <v>6351</v>
      </c>
      <c r="J50" s="14">
        <v>8550</v>
      </c>
      <c r="K50" s="14">
        <v>9272</v>
      </c>
    </row>
    <row r="51" spans="2:11" x14ac:dyDescent="0.25">
      <c r="B51" s="12" t="s">
        <v>9</v>
      </c>
      <c r="C51">
        <f>COUNTIF(Table2[Product 1],"Yes")</f>
        <v>60</v>
      </c>
      <c r="F51" s="18">
        <v>0.71660086943635504</v>
      </c>
      <c r="G51" s="14">
        <v>1092</v>
      </c>
      <c r="H51" s="14">
        <v>3140</v>
      </c>
      <c r="I51" s="14">
        <v>4123</v>
      </c>
      <c r="J51" s="14">
        <v>4366</v>
      </c>
      <c r="K51" s="14">
        <v>9482</v>
      </c>
    </row>
    <row r="52" spans="2:11" x14ac:dyDescent="0.25">
      <c r="B52" s="12" t="s">
        <v>10</v>
      </c>
      <c r="C52">
        <f>COUNTIF(Table2[Product 2],"Yes")</f>
        <v>46</v>
      </c>
      <c r="F52" s="18">
        <v>0.72970725225475852</v>
      </c>
      <c r="G52" s="14">
        <v>576</v>
      </c>
      <c r="H52" s="14">
        <v>2628</v>
      </c>
      <c r="I52" s="14">
        <v>3612</v>
      </c>
      <c r="J52" s="14">
        <v>5066</v>
      </c>
      <c r="K52" s="14">
        <v>5156</v>
      </c>
    </row>
    <row r="53" spans="2:11" x14ac:dyDescent="0.25">
      <c r="B53" s="12" t="s">
        <v>11</v>
      </c>
      <c r="C53">
        <f>COUNTIF(Table2[Product 3],"Yes")</f>
        <v>28</v>
      </c>
      <c r="F53" s="18">
        <v>0.74338775485751718</v>
      </c>
      <c r="G53" s="14">
        <v>1038</v>
      </c>
      <c r="H53" s="14">
        <v>3615</v>
      </c>
      <c r="I53" s="14">
        <v>3712</v>
      </c>
      <c r="J53" s="14">
        <v>5819</v>
      </c>
      <c r="K53" s="14">
        <v>9589</v>
      </c>
    </row>
    <row r="54" spans="2:11" x14ac:dyDescent="0.25">
      <c r="F54" s="18">
        <v>0.81146879617010592</v>
      </c>
      <c r="G54" s="14">
        <v>861</v>
      </c>
      <c r="H54" s="14">
        <v>1314</v>
      </c>
      <c r="I54" s="14">
        <v>1810</v>
      </c>
      <c r="J54" s="14">
        <v>6510</v>
      </c>
      <c r="K54" s="14">
        <v>9271</v>
      </c>
    </row>
    <row r="55" spans="2:11" x14ac:dyDescent="0.25">
      <c r="B55" s="13" t="s">
        <v>292</v>
      </c>
      <c r="C55" s="13" t="s">
        <v>294</v>
      </c>
      <c r="F55" s="18">
        <v>0.83041416010220881</v>
      </c>
      <c r="G55" s="14">
        <v>870</v>
      </c>
      <c r="H55" s="14">
        <v>2428</v>
      </c>
      <c r="I55" s="14">
        <v>7386</v>
      </c>
      <c r="J55" s="14">
        <v>8835</v>
      </c>
      <c r="K55" s="14">
        <v>9766</v>
      </c>
    </row>
    <row r="56" spans="2:11" x14ac:dyDescent="0.25">
      <c r="B56" s="12" t="s">
        <v>290</v>
      </c>
      <c r="C56">
        <f>AVERAGE(G72:K72)</f>
        <v>66693.600000000006</v>
      </c>
      <c r="F56" s="18">
        <v>0.86419779018759768</v>
      </c>
      <c r="G56" s="14">
        <v>712</v>
      </c>
      <c r="H56" s="14">
        <v>4182</v>
      </c>
      <c r="I56" s="14">
        <v>6087</v>
      </c>
      <c r="J56" s="14">
        <v>7494</v>
      </c>
      <c r="K56" s="14">
        <v>8599</v>
      </c>
    </row>
    <row r="57" spans="2:11" x14ac:dyDescent="0.25">
      <c r="B57" s="12" t="s">
        <v>289</v>
      </c>
      <c r="C57">
        <f t="shared" ref="C57:C60" si="1">AVERAGE(G73:K73)</f>
        <v>101055.2</v>
      </c>
      <c r="F57" s="18">
        <v>0.90588403033885334</v>
      </c>
      <c r="G57" s="14">
        <v>700</v>
      </c>
      <c r="H57" s="14">
        <v>5721</v>
      </c>
      <c r="I57" s="14">
        <v>6247</v>
      </c>
      <c r="J57" s="14">
        <v>8495</v>
      </c>
      <c r="K57" s="14">
        <v>9236</v>
      </c>
    </row>
    <row r="58" spans="2:11" x14ac:dyDescent="0.25">
      <c r="B58" s="12" t="s">
        <v>287</v>
      </c>
      <c r="C58">
        <f t="shared" si="1"/>
        <v>109574.39999999999</v>
      </c>
      <c r="F58" s="18">
        <v>0.91164163510334228</v>
      </c>
      <c r="G58" s="14">
        <v>742</v>
      </c>
      <c r="H58" s="14">
        <v>3751</v>
      </c>
      <c r="I58" s="14">
        <v>4423</v>
      </c>
      <c r="J58" s="14">
        <v>8733</v>
      </c>
      <c r="K58" s="14">
        <v>9909</v>
      </c>
    </row>
    <row r="59" spans="2:11" x14ac:dyDescent="0.25">
      <c r="B59" s="12" t="s">
        <v>288</v>
      </c>
      <c r="C59">
        <f t="shared" si="1"/>
        <v>14029.6</v>
      </c>
      <c r="F59" s="18">
        <v>1.0242801438529217</v>
      </c>
      <c r="G59" s="14">
        <v>570</v>
      </c>
      <c r="H59" s="14">
        <v>1322</v>
      </c>
      <c r="I59" s="14">
        <v>7279</v>
      </c>
      <c r="J59" s="14">
        <v>8443</v>
      </c>
      <c r="K59" s="14">
        <v>9571</v>
      </c>
    </row>
    <row r="60" spans="2:11" x14ac:dyDescent="0.25">
      <c r="B60" s="12" t="s">
        <v>291</v>
      </c>
      <c r="C60">
        <f t="shared" si="1"/>
        <v>4816.8</v>
      </c>
      <c r="F60" s="18">
        <v>1.084072328017021</v>
      </c>
      <c r="G60" s="14">
        <v>488</v>
      </c>
      <c r="H60" s="14">
        <v>5535</v>
      </c>
      <c r="I60" s="14">
        <v>5775</v>
      </c>
      <c r="J60" s="14">
        <v>7661</v>
      </c>
      <c r="K60" s="14">
        <v>9206</v>
      </c>
    </row>
    <row r="61" spans="2:11" x14ac:dyDescent="0.25">
      <c r="F61" s="18">
        <v>1.0930046233022455</v>
      </c>
      <c r="G61" s="14">
        <v>431</v>
      </c>
      <c r="H61" s="14">
        <v>6231</v>
      </c>
      <c r="I61" s="14">
        <v>7478</v>
      </c>
      <c r="J61" s="14">
        <v>8039</v>
      </c>
      <c r="K61" s="14">
        <v>8271</v>
      </c>
    </row>
    <row r="62" spans="2:11" x14ac:dyDescent="0.25">
      <c r="B62" s="13"/>
      <c r="C62" s="13"/>
      <c r="D62" s="13"/>
      <c r="F62" s="18">
        <v>1.1188084145320056</v>
      </c>
      <c r="G62" s="14">
        <v>376</v>
      </c>
      <c r="H62" s="14">
        <v>889</v>
      </c>
      <c r="I62" s="14">
        <v>4373</v>
      </c>
      <c r="J62" s="14">
        <v>6803</v>
      </c>
      <c r="K62" s="14">
        <v>7578</v>
      </c>
    </row>
    <row r="63" spans="2:11" x14ac:dyDescent="0.25">
      <c r="B63" s="12"/>
      <c r="D63" s="15"/>
      <c r="F63" s="18">
        <v>1.3475541667800686</v>
      </c>
      <c r="G63" s="14">
        <v>299</v>
      </c>
      <c r="H63" s="14">
        <v>657</v>
      </c>
      <c r="I63" s="14">
        <v>6238</v>
      </c>
      <c r="J63" s="14">
        <v>8922</v>
      </c>
      <c r="K63" s="14">
        <v>9081</v>
      </c>
    </row>
    <row r="64" spans="2:11" x14ac:dyDescent="0.25">
      <c r="B64" s="12"/>
      <c r="D64" s="15"/>
      <c r="F64" s="18">
        <v>1.4232703532020747</v>
      </c>
      <c r="G64" s="14">
        <v>238</v>
      </c>
      <c r="H64" s="14">
        <v>1235</v>
      </c>
      <c r="I64" s="14">
        <v>1822</v>
      </c>
      <c r="J64" s="14">
        <v>7074</v>
      </c>
      <c r="K64" s="14">
        <v>8207</v>
      </c>
    </row>
    <row r="65" spans="2:11" x14ac:dyDescent="0.25">
      <c r="B65" s="12"/>
      <c r="D65" s="15"/>
      <c r="F65" s="18">
        <v>1.5203389637502625</v>
      </c>
      <c r="G65" s="14">
        <v>209</v>
      </c>
      <c r="H65" s="14">
        <v>621</v>
      </c>
      <c r="I65" s="14">
        <v>3098</v>
      </c>
      <c r="J65" s="14">
        <v>7118</v>
      </c>
      <c r="K65" s="14">
        <v>8433</v>
      </c>
    </row>
    <row r="66" spans="2:11" x14ac:dyDescent="0.25">
      <c r="B66" s="12"/>
      <c r="D66" s="15"/>
      <c r="F66" s="18">
        <v>1.6546701130112136</v>
      </c>
      <c r="G66" s="14">
        <v>128</v>
      </c>
      <c r="H66" s="14">
        <v>416</v>
      </c>
      <c r="I66" s="14">
        <v>747</v>
      </c>
      <c r="J66" s="14">
        <v>1028</v>
      </c>
      <c r="K66" s="14">
        <v>6357</v>
      </c>
    </row>
    <row r="67" spans="2:11" x14ac:dyDescent="0.25">
      <c r="F67" s="18">
        <v>1.8142296888697582</v>
      </c>
      <c r="G67" s="14">
        <v>138</v>
      </c>
      <c r="H67" s="14">
        <v>286</v>
      </c>
      <c r="I67" s="14">
        <v>6750</v>
      </c>
      <c r="J67" s="14">
        <v>8254</v>
      </c>
      <c r="K67" s="14">
        <v>8656</v>
      </c>
    </row>
    <row r="68" spans="2:11" x14ac:dyDescent="0.25">
      <c r="F68" s="18">
        <v>2.2455667067018901</v>
      </c>
      <c r="G68" s="14">
        <v>73</v>
      </c>
      <c r="H68" s="14">
        <v>3485</v>
      </c>
      <c r="I68" s="14">
        <v>4592</v>
      </c>
      <c r="J68" s="14">
        <v>5143</v>
      </c>
      <c r="K68" s="14">
        <v>8100</v>
      </c>
    </row>
    <row r="69" spans="2:11" x14ac:dyDescent="0.25">
      <c r="F69" s="18">
        <v>3.3498147004699526</v>
      </c>
      <c r="G69" s="14">
        <v>24</v>
      </c>
      <c r="H69" s="14">
        <v>1797</v>
      </c>
      <c r="I69" s="14">
        <v>3548</v>
      </c>
      <c r="J69" s="14">
        <v>3668</v>
      </c>
      <c r="K69" s="14">
        <v>8592</v>
      </c>
    </row>
    <row r="71" spans="2:11" x14ac:dyDescent="0.25">
      <c r="F71" s="11" t="s">
        <v>292</v>
      </c>
      <c r="G71" t="s">
        <v>271</v>
      </c>
      <c r="H71" t="s">
        <v>272</v>
      </c>
      <c r="I71" t="s">
        <v>273</v>
      </c>
      <c r="J71" t="s">
        <v>274</v>
      </c>
      <c r="K71" t="s">
        <v>275</v>
      </c>
    </row>
    <row r="72" spans="2:11" x14ac:dyDescent="0.25">
      <c r="F72" s="12" t="s">
        <v>290</v>
      </c>
      <c r="G72" s="14">
        <v>14855</v>
      </c>
      <c r="H72" s="14">
        <v>43945</v>
      </c>
      <c r="I72" s="14">
        <v>64356</v>
      </c>
      <c r="J72" s="14">
        <v>94914</v>
      </c>
      <c r="K72" s="14">
        <v>115398</v>
      </c>
    </row>
    <row r="73" spans="2:11" x14ac:dyDescent="0.25">
      <c r="F73" s="12" t="s">
        <v>289</v>
      </c>
      <c r="G73" s="14">
        <v>78026</v>
      </c>
      <c r="H73" s="14">
        <v>90676</v>
      </c>
      <c r="I73" s="14">
        <v>99140</v>
      </c>
      <c r="J73" s="14">
        <v>109194</v>
      </c>
      <c r="K73" s="14">
        <v>128240</v>
      </c>
    </row>
    <row r="74" spans="2:11" x14ac:dyDescent="0.25">
      <c r="F74" s="12" t="s">
        <v>287</v>
      </c>
      <c r="G74" s="14">
        <v>88524</v>
      </c>
      <c r="H74" s="14">
        <v>94802</v>
      </c>
      <c r="I74" s="14">
        <v>104491</v>
      </c>
      <c r="J74" s="14">
        <v>122970</v>
      </c>
      <c r="K74" s="14">
        <v>137085</v>
      </c>
    </row>
    <row r="75" spans="2:11" x14ac:dyDescent="0.25">
      <c r="F75" s="12" t="s">
        <v>288</v>
      </c>
      <c r="G75" s="14">
        <v>8433</v>
      </c>
      <c r="H75" s="14">
        <v>13286</v>
      </c>
      <c r="I75" s="14">
        <v>13712</v>
      </c>
      <c r="J75" s="14">
        <v>14902</v>
      </c>
      <c r="K75" s="14">
        <v>19815</v>
      </c>
    </row>
    <row r="76" spans="2:11" x14ac:dyDescent="0.25">
      <c r="F76" s="12" t="s">
        <v>291</v>
      </c>
      <c r="G76" s="14">
        <v>138</v>
      </c>
      <c r="H76" s="14">
        <v>286</v>
      </c>
      <c r="I76" s="14">
        <v>6750</v>
      </c>
      <c r="J76" s="14">
        <v>8254</v>
      </c>
      <c r="K76" s="14">
        <v>8656</v>
      </c>
    </row>
    <row r="78" spans="2:11" x14ac:dyDescent="0.25">
      <c r="F78" s="11" t="s">
        <v>292</v>
      </c>
      <c r="G78" t="s">
        <v>286</v>
      </c>
    </row>
    <row r="79" spans="2:11" x14ac:dyDescent="0.25">
      <c r="F79" s="12" t="s">
        <v>84</v>
      </c>
      <c r="G79" s="15">
        <v>0.57004191914563285</v>
      </c>
    </row>
    <row r="80" spans="2:11" x14ac:dyDescent="0.25">
      <c r="F80" s="12" t="s">
        <v>145</v>
      </c>
      <c r="G80" s="15">
        <v>0.54359458792921622</v>
      </c>
    </row>
    <row r="81" spans="6:7" x14ac:dyDescent="0.25">
      <c r="F81" s="12" t="s">
        <v>21</v>
      </c>
      <c r="G81" s="15">
        <v>0.3630752042608632</v>
      </c>
    </row>
    <row r="82" spans="6:7" x14ac:dyDescent="0.25">
      <c r="F82" s="12" t="s">
        <v>206</v>
      </c>
      <c r="G82" s="15">
        <v>0.50250826234846457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1628D-6D35-4CA0-9579-939FAE865F76}">
  <dimension ref="A1"/>
  <sheetViews>
    <sheetView topLeftCell="A31" zoomScaleNormal="100" workbookViewId="0">
      <selection activeCell="I2" sqref="I2"/>
    </sheetView>
  </sheetViews>
  <sheetFormatPr defaultRowHeight="15" x14ac:dyDescent="0.25"/>
  <cols>
    <col min="1" max="1" width="3.28515625" style="16" customWidth="1"/>
    <col min="2" max="2" width="14" style="16" bestFit="1" customWidth="1"/>
    <col min="3" max="3" width="26.140625" style="16" bestFit="1" customWidth="1"/>
    <col min="4" max="4" width="22.5703125" style="16" bestFit="1" customWidth="1"/>
    <col min="5" max="16384" width="9.14062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91D852-A2C3-4851-B86B-61A29AD1803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Sheet1</vt:lpstr>
      <vt:lpstr>Sheet4</vt:lpstr>
      <vt:lpstr>Sheet2</vt:lpstr>
      <vt:lpstr>Sheet3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Thomas Malone</dc:creator>
  <cp:keywords/>
  <dc:description/>
  <cp:lastModifiedBy>Ishika Sarkar</cp:lastModifiedBy>
  <cp:revision/>
  <cp:lastPrinted>2023-01-10T18:12:28Z</cp:lastPrinted>
  <dcterms:created xsi:type="dcterms:W3CDTF">2022-01-18T02:47:06Z</dcterms:created>
  <dcterms:modified xsi:type="dcterms:W3CDTF">2023-01-11T12:07:12Z</dcterms:modified>
  <cp:category/>
  <cp:contentStatus/>
</cp:coreProperties>
</file>